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82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⚙️ Config" sheetId="1" r:id="rId5"/>
    <sheet state="visible" name="Week 1" sheetId="2" r:id="rId6"/>
    <sheet state="visible" name="Week 2" sheetId="3" r:id="rId7"/>
    <sheet state="visible" name="Week 3" sheetId="4" r:id="rId8"/>
    <sheet state="visible" name="Week 4" sheetId="5" r:id="rId9"/>
    <sheet state="visible" name="📊 Monthly Dashboard" sheetId="6" r:id="rId10"/>
  </sheets>
  <definedNames>
    <definedName name="GOAL_WORK">'⚙️ Config'!$E$6</definedName>
    <definedName name="GOAL_MEDITATION">'⚙️ Config'!$E$5</definedName>
    <definedName name="GOAL_PERSONAL">'⚙️ Config'!$E$7</definedName>
    <definedName name="MONTH_START">'⚙️ Config'!$E$10</definedName>
    <definedName name="WEEK1_GRID">'Week 1'!$C$6:$AX$12</definedName>
    <definedName name="WEEK3_GRID">'Week 3'!$C$6:$AX$12</definedName>
    <definedName name="WASTED_LIMIT">'⚙️ Config'!$E$9</definedName>
    <definedName name="WEEK2_GRID">'Week 2'!$C$6:$AX$12</definedName>
    <definedName name="WEEK4_GRID">'Week 4'!$C$6:$AX$12</definedName>
    <definedName name="GOAL_PROG">'⚙️ Config'!$E$2</definedName>
    <definedName name="ACTIVITIES">'⚙️ Config'!$A$2:$A$13</definedName>
    <definedName name="GOAL_EXERCISE">'⚙️ Config'!$E$4</definedName>
    <definedName name="GOAL_ENGLISH">'⚙️ Config'!$E$3</definedName>
    <definedName name="IDEAL_SLEEP">'⚙️ Config'!$E$8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All weekly-sheet dates are computed from this date.
Week 2 starts +7 days, Week 3 +14, Week 4 +21.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8">
      <text>
        <t xml:space="preserve">✍️ Write here</t>
      </text>
    </comment>
    <comment authorId="0" ref="B222">
      <text>
        <t xml:space="preserve">✍️ Write here</t>
      </text>
    </comment>
    <comment authorId="0" ref="N230">
      <text>
        <t xml:space="preserve">✍️ Write here</t>
      </text>
    </comment>
    <comment authorId="0" ref="B57">
      <text>
        <t xml:space="preserve">✍️ Write here</t>
      </text>
    </comment>
    <comment authorId="0" ref="B214">
      <text>
        <t xml:space="preserve">✍️ Write here</t>
      </text>
    </comment>
    <comment authorId="0" ref="N222">
      <text>
        <t xml:space="preserve">✍️ Write here</t>
      </text>
    </comment>
    <comment authorId="0" ref="B47">
      <text>
        <t xml:space="preserve">✍️ Write here</t>
      </text>
    </comment>
    <comment authorId="0" ref="B206">
      <text>
        <t xml:space="preserve">✍️ Write here</t>
      </text>
    </comment>
    <comment authorId="0" ref="N214">
      <text>
        <t xml:space="preserve">✍️ Write here</t>
      </text>
    </comment>
    <comment authorId="0" ref="B198">
      <text>
        <t xml:space="preserve">✍️ Write here</t>
      </text>
    </comment>
    <comment authorId="0" ref="C6">
      <text>
        <t xml:space="preserve">⏱️ Click any cell and pick an activity from the dropdown.
Each cell = 30 minutes. Colors apply automatically.</t>
      </text>
    </comment>
    <comment authorId="0" ref="N206">
      <text>
        <t xml:space="preserve">✍️ Write here</t>
      </text>
    </comment>
    <comment authorId="0" ref="B190">
      <text>
        <t xml:space="preserve">✍️ Write here</t>
      </text>
    </comment>
    <comment authorId="0" ref="B62">
      <text>
        <t xml:space="preserve">✍️ Write here</t>
      </text>
    </comment>
    <comment authorId="0" ref="N198">
      <text>
        <t xml:space="preserve">✍️ Write here</t>
      </text>
    </comment>
    <comment authorId="0" ref="BD15">
      <text>
        <t xml:space="preserve">Shows today's productive hours while this sheet's week is the current week; otherwise —</t>
      </text>
    </comment>
    <comment authorId="0" ref="B52">
      <text>
        <t xml:space="preserve">✍️ Write here</t>
      </text>
    </comment>
    <comment authorId="0" ref="N190">
      <text>
        <t xml:space="preserve">✍️ Write here</t>
      </text>
    </comment>
    <comment authorId="0" ref="BA5">
      <text>
        <t xml:space="preserve">Type a task here; the ✓ box grays it out automatically.
Column to the right = optional notes.</t>
      </text>
    </comment>
    <comment authorId="0" ref="B238">
      <text>
        <t xml:space="preserve">✍️ Write here</t>
      </text>
    </comment>
    <comment authorId="0" ref="BE32">
      <text>
        <t xml:space="preserve">❤️ Type your daily health values here.
Averages and the health charts update automatically.</t>
      </text>
    </comment>
    <comment authorId="0" ref="B230">
      <text>
        <t xml:space="preserve">✍️ Write here</t>
      </text>
    </comment>
    <comment authorId="0" ref="J172">
      <text>
        <t xml:space="preserve">⏱ Duration is calculated automatically from Start and End.
Overnight routines (End past midnight) work too.</t>
      </text>
    </comment>
    <comment authorId="0" ref="B67">
      <text>
        <t xml:space="preserve">✍️ Write here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8">
      <text>
        <t xml:space="preserve">✍️ Write here</t>
      </text>
    </comment>
    <comment authorId="0" ref="B222">
      <text>
        <t xml:space="preserve">✍️ Write here</t>
      </text>
    </comment>
    <comment authorId="0" ref="N230">
      <text>
        <t xml:space="preserve">✍️ Write here</t>
      </text>
    </comment>
    <comment authorId="0" ref="B57">
      <text>
        <t xml:space="preserve">✍️ Write here</t>
      </text>
    </comment>
    <comment authorId="0" ref="B214">
      <text>
        <t xml:space="preserve">✍️ Write here</t>
      </text>
    </comment>
    <comment authorId="0" ref="N222">
      <text>
        <t xml:space="preserve">✍️ Write here</t>
      </text>
    </comment>
    <comment authorId="0" ref="B47">
      <text>
        <t xml:space="preserve">✍️ Write here</t>
      </text>
    </comment>
    <comment authorId="0" ref="B206">
      <text>
        <t xml:space="preserve">✍️ Write here</t>
      </text>
    </comment>
    <comment authorId="0" ref="N214">
      <text>
        <t xml:space="preserve">✍️ Write here</t>
      </text>
    </comment>
    <comment authorId="0" ref="B198">
      <text>
        <t xml:space="preserve">✍️ Write here</t>
      </text>
    </comment>
    <comment authorId="0" ref="C6">
      <text>
        <t xml:space="preserve">⏱️ Click any cell and pick an activity from the dropdown.
Each cell = 30 minutes. Colors apply automatically.</t>
      </text>
    </comment>
    <comment authorId="0" ref="N206">
      <text>
        <t xml:space="preserve">✍️ Write here</t>
      </text>
    </comment>
    <comment authorId="0" ref="B190">
      <text>
        <t xml:space="preserve">✍️ Write here</t>
      </text>
    </comment>
    <comment authorId="0" ref="B62">
      <text>
        <t xml:space="preserve">✍️ Write here</t>
      </text>
    </comment>
    <comment authorId="0" ref="N198">
      <text>
        <t xml:space="preserve">✍️ Write here</t>
      </text>
    </comment>
    <comment authorId="0" ref="BD15">
      <text>
        <t xml:space="preserve">Shows today's productive hours while this sheet's week is the current week; otherwise —</t>
      </text>
    </comment>
    <comment authorId="0" ref="B52">
      <text>
        <t xml:space="preserve">✍️ Write here</t>
      </text>
    </comment>
    <comment authorId="0" ref="N190">
      <text>
        <t xml:space="preserve">✍️ Write here</t>
      </text>
    </comment>
    <comment authorId="0" ref="BA5">
      <text>
        <t xml:space="preserve">Type a task here; the ✓ box grays it out automatically.
Column to the right = optional notes.</t>
      </text>
    </comment>
    <comment authorId="0" ref="B238">
      <text>
        <t xml:space="preserve">✍️ Write here</t>
      </text>
    </comment>
    <comment authorId="0" ref="BE32">
      <text>
        <t xml:space="preserve">❤️ Type your daily health values here.
Averages and the health charts update automatically.</t>
      </text>
    </comment>
    <comment authorId="0" ref="B230">
      <text>
        <t xml:space="preserve">✍️ Write here</t>
      </text>
    </comment>
    <comment authorId="0" ref="J172">
      <text>
        <t xml:space="preserve">⏱ Duration is calculated automatically from Start and End.
Overnight routines (End past midnight) work too.</t>
      </text>
    </comment>
    <comment authorId="0" ref="B67">
      <text>
        <t xml:space="preserve">✍️ Write here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8">
      <text>
        <t xml:space="preserve">✍️ Write here</t>
      </text>
    </comment>
    <comment authorId="0" ref="B222">
      <text>
        <t xml:space="preserve">✍️ Write here</t>
      </text>
    </comment>
    <comment authorId="0" ref="N230">
      <text>
        <t xml:space="preserve">✍️ Write here</t>
      </text>
    </comment>
    <comment authorId="0" ref="B57">
      <text>
        <t xml:space="preserve">✍️ Write here</t>
      </text>
    </comment>
    <comment authorId="0" ref="B214">
      <text>
        <t xml:space="preserve">✍️ Write here</t>
      </text>
    </comment>
    <comment authorId="0" ref="N222">
      <text>
        <t xml:space="preserve">✍️ Write here</t>
      </text>
    </comment>
    <comment authorId="0" ref="B47">
      <text>
        <t xml:space="preserve">✍️ Write here</t>
      </text>
    </comment>
    <comment authorId="0" ref="B206">
      <text>
        <t xml:space="preserve">✍️ Write here</t>
      </text>
    </comment>
    <comment authorId="0" ref="N214">
      <text>
        <t xml:space="preserve">✍️ Write here</t>
      </text>
    </comment>
    <comment authorId="0" ref="B198">
      <text>
        <t xml:space="preserve">✍️ Write here</t>
      </text>
    </comment>
    <comment authorId="0" ref="C6">
      <text>
        <t xml:space="preserve">⏱️ Click any cell and pick an activity from the dropdown.
Each cell = 30 minutes. Colors apply automatically.</t>
      </text>
    </comment>
    <comment authorId="0" ref="N206">
      <text>
        <t xml:space="preserve">✍️ Write here</t>
      </text>
    </comment>
    <comment authorId="0" ref="B190">
      <text>
        <t xml:space="preserve">✍️ Write here</t>
      </text>
    </comment>
    <comment authorId="0" ref="B62">
      <text>
        <t xml:space="preserve">✍️ Write here</t>
      </text>
    </comment>
    <comment authorId="0" ref="N198">
      <text>
        <t xml:space="preserve">✍️ Write here</t>
      </text>
    </comment>
    <comment authorId="0" ref="BD15">
      <text>
        <t xml:space="preserve">Shows today's productive hours while this sheet's week is the current week; otherwise —</t>
      </text>
    </comment>
    <comment authorId="0" ref="B52">
      <text>
        <t xml:space="preserve">✍️ Write here</t>
      </text>
    </comment>
    <comment authorId="0" ref="N190">
      <text>
        <t xml:space="preserve">✍️ Write here</t>
      </text>
    </comment>
    <comment authorId="0" ref="BA5">
      <text>
        <t xml:space="preserve">Type a task here; the ✓ box grays it out automatically.
Column to the right = optional notes.</t>
      </text>
    </comment>
    <comment authorId="0" ref="B238">
      <text>
        <t xml:space="preserve">✍️ Write here</t>
      </text>
    </comment>
    <comment authorId="0" ref="BE32">
      <text>
        <t xml:space="preserve">❤️ Type your daily health values here.
Averages and the health charts update automatically.</t>
      </text>
    </comment>
    <comment authorId="0" ref="B230">
      <text>
        <t xml:space="preserve">✍️ Write here</t>
      </text>
    </comment>
    <comment authorId="0" ref="J172">
      <text>
        <t xml:space="preserve">⏱ Duration is calculated automatically from Start and End.
Overnight routines (End past midnight) work too.</t>
      </text>
    </comment>
    <comment authorId="0" ref="B67">
      <text>
        <t xml:space="preserve">✍️ Write here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8">
      <text>
        <t xml:space="preserve">✍️ Write here</t>
      </text>
    </comment>
    <comment authorId="0" ref="B222">
      <text>
        <t xml:space="preserve">✍️ Write here</t>
      </text>
    </comment>
    <comment authorId="0" ref="N230">
      <text>
        <t xml:space="preserve">✍️ Write here</t>
      </text>
    </comment>
    <comment authorId="0" ref="B57">
      <text>
        <t xml:space="preserve">✍️ Write here</t>
      </text>
    </comment>
    <comment authorId="0" ref="B214">
      <text>
        <t xml:space="preserve">✍️ Write here</t>
      </text>
    </comment>
    <comment authorId="0" ref="N222">
      <text>
        <t xml:space="preserve">✍️ Write here</t>
      </text>
    </comment>
    <comment authorId="0" ref="B47">
      <text>
        <t xml:space="preserve">✍️ Write here</t>
      </text>
    </comment>
    <comment authorId="0" ref="B206">
      <text>
        <t xml:space="preserve">✍️ Write here</t>
      </text>
    </comment>
    <comment authorId="0" ref="N214">
      <text>
        <t xml:space="preserve">✍️ Write here</t>
      </text>
    </comment>
    <comment authorId="0" ref="B198">
      <text>
        <t xml:space="preserve">✍️ Write here</t>
      </text>
    </comment>
    <comment authorId="0" ref="C6">
      <text>
        <t xml:space="preserve">⏱️ Click any cell and pick an activity from the dropdown.
Each cell = 30 minutes. Colors apply automatically.</t>
      </text>
    </comment>
    <comment authorId="0" ref="N206">
      <text>
        <t xml:space="preserve">✍️ Write here</t>
      </text>
    </comment>
    <comment authorId="0" ref="B190">
      <text>
        <t xml:space="preserve">✍️ Write here</t>
      </text>
    </comment>
    <comment authorId="0" ref="B62">
      <text>
        <t xml:space="preserve">✍️ Write here</t>
      </text>
    </comment>
    <comment authorId="0" ref="N198">
      <text>
        <t xml:space="preserve">✍️ Write here</t>
      </text>
    </comment>
    <comment authorId="0" ref="BD15">
      <text>
        <t xml:space="preserve">Shows today's productive hours while this sheet's week is the current week; otherwise —</t>
      </text>
    </comment>
    <comment authorId="0" ref="B52">
      <text>
        <t xml:space="preserve">✍️ Write here</t>
      </text>
    </comment>
    <comment authorId="0" ref="N190">
      <text>
        <t xml:space="preserve">✍️ Write here</t>
      </text>
    </comment>
    <comment authorId="0" ref="BA5">
      <text>
        <t xml:space="preserve">Type a task here; the ✓ box grays it out automatically.
Column to the right = optional notes.</t>
      </text>
    </comment>
    <comment authorId="0" ref="B238">
      <text>
        <t xml:space="preserve">✍️ Write here</t>
      </text>
    </comment>
    <comment authorId="0" ref="BE32">
      <text>
        <t xml:space="preserve">❤️ Type your daily health values here.
Averages and the health charts update automatically.</t>
      </text>
    </comment>
    <comment authorId="0" ref="B230">
      <text>
        <t xml:space="preserve">✍️ Write here</t>
      </text>
    </comment>
    <comment authorId="0" ref="J172">
      <text>
        <t xml:space="preserve">⏱ Duration is calculated automatically from Start and End.
Overnight routines (End past midnight) work too.</t>
      </text>
    </comment>
    <comment authorId="0" ref="B67">
      <text>
        <t xml:space="preserve">✍️ Write here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8">
      <text>
        <t xml:space="preserve">✍️ Write here</t>
      </text>
    </comment>
    <comment authorId="0" ref="B158">
      <text>
        <t xml:space="preserve">✍️ Write here</t>
      </text>
    </comment>
    <comment authorId="0" ref="B173">
      <text>
        <t xml:space="preserve">✍️ Write here</t>
      </text>
    </comment>
    <comment authorId="0" ref="H48">
      <text>
        <t xml:space="preserve">Score out of 100:
• Programming (codding + learn-prog) vs goal → 25 pts
• English (En-book + En-listening) vs goal → 15 pts
• Exercises (Run + Gym) vs goal → 12 pts
• Meditate (Meditation + Setar) vs goal → 8 pts
• Work vs goal → 10 pts
• Personal Tasks vs goal → 5 pts
• Healthy sleep (near ideal/day) → 25 pts
• Wasted time → up to −25 pts
Goals are editable on the hidden "⚙️ Config" sheet
(right-click a tab ▸ Show sheet).</t>
      </text>
    </comment>
    <comment authorId="0" ref="B168">
      <text>
        <t xml:space="preserve">✍️ Write here</t>
      </text>
    </comment>
    <comment authorId="0" ref="B183">
      <text>
        <t xml:space="preserve">✍️ Write here</t>
      </text>
    </comment>
    <comment authorId="0" ref="B163">
      <text>
        <t xml:space="preserve">✍️ Write here</t>
      </text>
    </comment>
  </commentList>
</comments>
</file>

<file path=xl/sharedStrings.xml><?xml version="1.0" encoding="utf-8"?>
<sst xmlns="http://schemas.openxmlformats.org/spreadsheetml/2006/main" count="794" uniqueCount="170">
  <si>
    <t>Activity</t>
  </si>
  <si>
    <t>Color</t>
  </si>
  <si>
    <t>Productivity-score goals (editable)</t>
  </si>
  <si>
    <t>codding</t>
  </si>
  <si>
    <t>#057c31</t>
  </si>
  <si>
    <t>Monthly Programming goal (codding + learn-prog, hours)</t>
  </si>
  <si>
    <t>learn-prog</t>
  </si>
  <si>
    <t>#86EFAC</t>
  </si>
  <si>
    <t>Monthly English goal (En-book + En-listening, hours)</t>
  </si>
  <si>
    <t>En-book</t>
  </si>
  <si>
    <t>#2563EB</t>
  </si>
  <si>
    <t>Monthly Exercise goal (Run + Gym, hours)</t>
  </si>
  <si>
    <t>En-listening</t>
  </si>
  <si>
    <t>#93C5FD</t>
  </si>
  <si>
    <t>Monthly Meditate goal (Meditation + Setar, hours)</t>
  </si>
  <si>
    <t>Run</t>
  </si>
  <si>
    <t>#EA580C</t>
  </si>
  <si>
    <t>Monthly Work goal (hours)</t>
  </si>
  <si>
    <t>Gym</t>
  </si>
  <si>
    <t>#FDBA74</t>
  </si>
  <si>
    <t>Monthly Personal Tasks goal (hours)</t>
  </si>
  <si>
    <t>work</t>
  </si>
  <si>
    <t>#89fd05</t>
  </si>
  <si>
    <t>Ideal sleep per day (hours)</t>
  </si>
  <si>
    <t>Meditation</t>
  </si>
  <si>
    <t>#8e029b</t>
  </si>
  <si>
    <t>Wasted-time limit per month (hours)</t>
  </si>
  <si>
    <t>Setar</t>
  </si>
  <si>
    <t>#da87de</t>
  </si>
  <si>
    <t>Week 1 start date (must be a Monday)</t>
  </si>
  <si>
    <t>Personal Tasks</t>
  </si>
  <si>
    <t>#eeeeee</t>
  </si>
  <si>
    <t>Wasted Time</t>
  </si>
  <si>
    <t>#ff1500</t>
  </si>
  <si>
    <t>Sleep</t>
  </si>
  <si>
    <t>#4e4d44</t>
  </si>
  <si>
    <t>⏱️  WEEK 1 — TIME TRACKER</t>
  </si>
  <si>
    <t>✨ Plan · Track · Improve</t>
  </si>
  <si>
    <r>
      <rPr>
        <rFont val="Poppins"/>
        <b/>
        <color rgb="FFC7D2FE"/>
        <sz val="10.0"/>
      </rPr>
      <t>📅 Week 1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2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3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4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📊 Dashboard</t>
    </r>
  </si>
  <si>
    <t>⏱️  WEEK 2 — TIME TRACKER</t>
  </si>
  <si>
    <t>Every colored block = 30 minutes</t>
  </si>
  <si>
    <r>
      <rPr>
        <rFont val="Poppins"/>
        <b/>
        <color rgb="FFC7D2FE"/>
        <sz val="10.0"/>
      </rPr>
      <t>📅 Week 1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2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3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4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📊 Dashboard</t>
    </r>
  </si>
  <si>
    <t>✅ Daily To-Do List</t>
  </si>
  <si>
    <t>📅 Daily Breakdown — hours per activity (auto)</t>
  </si>
  <si>
    <t>📅 Day</t>
  </si>
  <si>
    <t>📅 Monday</t>
  </si>
  <si>
    <t>Day</t>
  </si>
  <si>
    <t>💻 codding</t>
  </si>
  <si>
    <t>⏱️  WEEK 4 — TIME TRACKER</t>
  </si>
  <si>
    <t>💻 learn-prog</t>
  </si>
  <si>
    <t>📚 En-book</t>
  </si>
  <si>
    <t>📚 En-listening</t>
  </si>
  <si>
    <t>🏋️ Run</t>
  </si>
  <si>
    <t>🏋️ Gym</t>
  </si>
  <si>
    <t>🧑‍💻 work</t>
  </si>
  <si>
    <t>🧘 Meditation</t>
  </si>
  <si>
    <t>🧘 Setar</t>
  </si>
  <si>
    <t>📋 Personal Tasks</t>
  </si>
  <si>
    <t>⌛ Wasted Time</t>
  </si>
  <si>
    <t>😴 Sleep</t>
  </si>
  <si>
    <t>Σ Total</t>
  </si>
  <si>
    <r>
      <rPr>
        <rFont val="Poppins"/>
        <b/>
        <color rgb="FFC7D2FE"/>
        <sz val="10.0"/>
      </rPr>
      <t>📅 Week 1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2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3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4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📊 Dashboard</t>
    </r>
  </si>
  <si>
    <t>Monday</t>
  </si>
  <si>
    <t>⏱️  WEEK 3 — TIME TRACKER</t>
  </si>
  <si>
    <r>
      <rPr>
        <rFont val="Poppins"/>
        <b/>
        <color rgb="FFC7D2FE"/>
        <sz val="10.0"/>
      </rPr>
      <t>📅 Week 1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2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3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4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📊 Dashboard</t>
    </r>
  </si>
  <si>
    <t>Tuesday</t>
  </si>
  <si>
    <t>Wednesday</t>
  </si>
  <si>
    <t>Thursday</t>
  </si>
  <si>
    <t>📅 Tuesday</t>
  </si>
  <si>
    <t>Friday</t>
  </si>
  <si>
    <t>Saturday</t>
  </si>
  <si>
    <t>Sunday</t>
  </si>
  <si>
    <t>Σ Week</t>
  </si>
  <si>
    <t>🎨 Legend</t>
  </si>
  <si>
    <t>📅 Wednesday</t>
  </si>
  <si>
    <t>⚡ Productive Time — Programming + English + Exercises + Work</t>
  </si>
  <si>
    <t>⚡ Today's Productive Hours</t>
  </si>
  <si>
    <t>Σ Week Total</t>
  </si>
  <si>
    <t>📈 Avg / Day</t>
  </si>
  <si>
    <t>📊 Weekly Statistics &amp; Summary  (auto-calculated)</t>
  </si>
  <si>
    <t>Total Hours</t>
  </si>
  <si>
    <t>% of Week</t>
  </si>
  <si>
    <t>Distribution</t>
  </si>
  <si>
    <t>📅 Thursday</t>
  </si>
  <si>
    <t>⚡ Hours</t>
  </si>
  <si>
    <t>Comparison</t>
  </si>
  <si>
    <t>📅 Friday</t>
  </si>
  <si>
    <t>Avg / day</t>
  </si>
  <si>
    <t>📅 Saturday</t>
  </si>
  <si>
    <t>Σ Total Tracked</t>
  </si>
  <si>
    <t>❤️ Weekly Health Tracker  (enter values manually)</t>
  </si>
  <si>
    <t>⬜ Untracked</t>
  </si>
  <si>
    <t>Metric</t>
  </si>
  <si>
    <t>Ø Avg</t>
  </si>
  <si>
    <t>💧 Water</t>
  </si>
  <si>
    <t>📦 Category Groups  (combined totals — activities stay tracked individually)</t>
  </si>
  <si>
    <t>🍬 Sugar</t>
  </si>
  <si>
    <t>Group</t>
  </si>
  <si>
    <t>📅 Sunday</t>
  </si>
  <si>
    <t xml:space="preserve">🥑 Fat </t>
  </si>
  <si>
    <t>💻 Programming</t>
  </si>
  <si>
    <t>🏋️ Sit-ups</t>
  </si>
  <si>
    <t>📚 English</t>
  </si>
  <si>
    <t>💪 Push-ups</t>
  </si>
  <si>
    <t>🏋️ Exercises</t>
  </si>
  <si>
    <t>🧱 Plank</t>
  </si>
  <si>
    <t>🧘 Meditate</t>
  </si>
  <si>
    <t>🪢 Jump</t>
  </si>
  <si>
    <t>🧑‍💻 Work</t>
  </si>
  <si>
    <t>🪥 Tooth Brushing  (✓ each time you brush)</t>
  </si>
  <si>
    <t>🪥 Morning</t>
  </si>
  <si>
    <t>🪥 Afternoon</t>
  </si>
  <si>
    <t>🪥 Night</t>
  </si>
  <si>
    <t>🧠 Weekly Reflection</t>
  </si>
  <si>
    <t>📈 Health chart feed  (auto)</t>
  </si>
  <si>
    <t>🏆 Wins This Week  ·  What went well?</t>
  </si>
  <si>
    <t>⚔️ Challenges  ·  What problems did I face?</t>
  </si>
  <si>
    <t>💡 Lessons Learned  ·  What did I learn?</t>
  </si>
  <si>
    <t>🚀 Improvements for Next Week  ·  What should I improve?</t>
  </si>
  <si>
    <t>📝 Personal Notes  ·  Free writing space</t>
  </si>
  <si>
    <t>⏰ Daily Routine Planner  (recurring daily schedule)</t>
  </si>
  <si>
    <t>Task</t>
  </si>
  <si>
    <t>Start</t>
  </si>
  <si>
    <t>End</t>
  </si>
  <si>
    <t>Duration</t>
  </si>
  <si>
    <t>Notes (optional)</t>
  </si>
  <si>
    <t>English Study</t>
  </si>
  <si>
    <t>Programming</t>
  </si>
  <si>
    <t>Workout</t>
  </si>
  <si>
    <t>📝 Daily Journal</t>
  </si>
  <si>
    <t>🕐 What did I spend most of my time on today?</t>
  </si>
  <si>
    <t>💡 Today’s Notes</t>
  </si>
  <si>
    <t>📊  MONTHLY DASHBOARD &amp; ANALYSIS</t>
  </si>
  <si>
    <r>
      <rPr>
        <rFont val="Poppins"/>
        <b/>
        <color rgb="FFC7D2FE"/>
        <sz val="10.0"/>
      </rPr>
      <t>📅 Week 1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2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3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📅 Week 4</t>
    </r>
    <r>
      <rPr>
        <rFont val="Poppins"/>
        <color rgb="FF1F2937"/>
        <sz val="10.0"/>
      </rPr>
      <t xml:space="preserve">    |    </t>
    </r>
    <r>
      <rPr>
        <rFont val="Poppins"/>
        <b/>
        <color rgb="FFC7D2FE"/>
        <sz val="10.0"/>
      </rPr>
      <t>📊 Dashboard</t>
    </r>
  </si>
  <si>
    <t>⚡ Productive (Month)</t>
  </si>
  <si>
    <t>🏆 Productivity Score</t>
  </si>
  <si>
    <t>⚡ Avg Productive / Day</t>
  </si>
  <si>
    <t>📊 Monthly Summary by Activity  (auto-collected from Weeks 1–4)</t>
  </si>
  <si>
    <t>Week 1</t>
  </si>
  <si>
    <t>Week 2</t>
  </si>
  <si>
    <t>Week 3</t>
  </si>
  <si>
    <t>Week 4</t>
  </si>
  <si>
    <t>% of Month</t>
  </si>
  <si>
    <t>Trend</t>
  </si>
  <si>
    <t>📦 Group Summary  (Programming, English, Exercises, Meditate, …)</t>
  </si>
  <si>
    <t>📅 Weekly Totals by Activity  (auto — feeds the trend charts)</t>
  </si>
  <si>
    <t>Week</t>
  </si>
  <si>
    <t>📌 Key Metrics</t>
  </si>
  <si>
    <t>⚡ Productive Time</t>
  </si>
  <si>
    <t>⏱️ Total Tracked Hours</t>
  </si>
  <si>
    <t>⚡ Avg Productive Hours / Day</t>
  </si>
  <si>
    <t>out of 100</t>
  </si>
  <si>
    <t>😴 Avg Sleep / Day</t>
  </si>
  <si>
    <t>💻 Programming % (of tracked)</t>
  </si>
  <si>
    <t>📚 English % (of tracked)</t>
  </si>
  <si>
    <t>Σ Month</t>
  </si>
  <si>
    <t>🏋️ Exercises % (of tracked)</t>
  </si>
  <si>
    <t>⚡ Avg / Day</t>
  </si>
  <si>
    <t>⌛ Wasted Time % (of tracked)</t>
  </si>
  <si>
    <t>🏅 Best Week</t>
  </si>
  <si>
    <t>📈 Monthly Analytics</t>
  </si>
  <si>
    <t>🗓️ Monthly Reflection</t>
  </si>
  <si>
    <t>🏆 Biggest Achievement</t>
  </si>
  <si>
    <t>⚠️ Biggest Mistake</t>
  </si>
  <si>
    <t>📈 Habits That Improved</t>
  </si>
  <si>
    <t>📉 Habits That Hurt My Productivity</t>
  </si>
  <si>
    <t>🎯 Goals for Next Month</t>
  </si>
  <si>
    <t>📝 Notes</t>
  </si>
  <si>
    <t>Score</t>
  </si>
  <si>
    <t>Productivity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</si>
</sst>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 mmm yyyy"/>
    <numFmt numFmtId="165" formatCode="0.0"/>
    <numFmt numFmtId="166" formatCode="0.0&quot; h&quot;"/>
    <numFmt numFmtId="167" formatCode="0.0%"/>
    <numFmt numFmtId="168" formatCode="0.0&quot; L&quot;"/>
    <numFmt numFmtId="169" formatCode="0.00&quot; L&quot;"/>
    <numFmt numFmtId="170" formatCode="0&quot; g&quot;"/>
    <numFmt numFmtId="171" formatCode="0.0&quot; g&quot;"/>
    <numFmt numFmtId="172" formatCode="0&quot;%&quot;"/>
    <numFmt numFmtId="173" formatCode="0.0&quot;%&quot;"/>
    <numFmt numFmtId="174" formatCode="0&quot; s&quot;"/>
    <numFmt numFmtId="175" formatCode="0.0&quot; s&quot;"/>
    <numFmt numFmtId="176" formatCode="0&quot; min&quot;"/>
    <numFmt numFmtId="177" formatCode="0.0&quot; min&quot;"/>
    <numFmt numFmtId="178" formatCode="HH:mm"/>
    <numFmt numFmtId="179" formatCode="0&quot; / 100&quot;"/>
    <numFmt numFmtId="180" formatCode="0.00&quot; h&quot;"/>
  </numFmts>
  <fonts count="3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5F4B00"/>
      <name val="Arial"/>
      <scheme val="minor"/>
    </font>
    <font>
      <sz val="10.0"/>
      <color rgb="FF1F2937"/>
      <name val="Poppins"/>
    </font>
    <font>
      <b/>
      <sz val="16.0"/>
      <color rgb="FFFFFFFF"/>
      <name val="Poppins"/>
    </font>
    <font>
      <i/>
      <sz val="10.0"/>
      <color rgb="FF8EA2E8"/>
      <name val="Poppins"/>
    </font>
    <font>
      <u/>
      <sz val="10.0"/>
      <color rgb="FF1F2937"/>
      <name val="Poppins"/>
    </font>
    <font>
      <i/>
      <sz val="9.0"/>
      <color rgb="FF93A5D1"/>
      <name val="Poppins"/>
    </font>
    <font>
      <b/>
      <sz val="11.0"/>
      <color rgb="FFFFFFFF"/>
      <name val="Poppins"/>
    </font>
    <font>
      <b/>
      <sz val="10.0"/>
      <color rgb="FFFFFFFF"/>
      <name val="Poppins"/>
    </font>
    <font>
      <b/>
      <sz val="9.0"/>
      <color rgb="FFC7D2FE"/>
      <name val="Poppins"/>
    </font>
    <font/>
    <font>
      <b/>
      <sz val="9.0"/>
      <color rgb="FF8A6D1D"/>
      <name val="Poppins"/>
    </font>
    <font>
      <b/>
      <sz val="9.0"/>
      <color rgb="FF2B5CAB"/>
      <name val="Poppins"/>
    </font>
    <font>
      <b/>
      <sz val="9.0"/>
      <color rgb="FF5E3B96"/>
      <name val="Poppins"/>
    </font>
    <font>
      <b/>
      <sz val="10.0"/>
      <color rgb="FF3730A3"/>
      <name val="Poppins"/>
    </font>
    <font>
      <b/>
      <sz val="9.0"/>
      <color rgb="FF1F2A44"/>
      <name val="Poppins"/>
    </font>
    <font>
      <sz val="7.0"/>
      <color rgb="FF64748B"/>
      <name val="Poppins"/>
    </font>
    <font>
      <b/>
      <sz val="10.0"/>
      <color rgb="FF1F2937"/>
      <name val="Poppins"/>
    </font>
    <font>
      <b/>
      <sz val="9.0"/>
      <color rgb="FF3730A3"/>
      <name val="Poppins"/>
    </font>
    <font>
      <sz val="9.0"/>
      <color rgb="FF1F2937"/>
      <name val="Poppins"/>
    </font>
    <font>
      <b/>
      <sz val="10.0"/>
      <color rgb="FFBE123C"/>
      <name val="Poppins"/>
    </font>
    <font>
      <b/>
      <sz val="9.0"/>
      <color rgb="FFBE123C"/>
      <name val="Poppins"/>
    </font>
    <font>
      <b/>
      <sz val="9.0"/>
      <color rgb="FF64748B"/>
      <name val="Poppins"/>
    </font>
    <font>
      <b/>
      <sz val="8.0"/>
      <color rgb="FFFFFFFF"/>
      <name val="Poppins"/>
    </font>
    <font>
      <b/>
      <sz val="8.0"/>
      <color rgb="FF5F4B00"/>
      <name val="Poppins"/>
    </font>
    <font>
      <b/>
      <sz val="9.0"/>
      <color rgb="FFFFFFFF"/>
      <name val="Poppins"/>
    </font>
    <font>
      <b/>
      <sz val="18.0"/>
      <color rgb="FFFFFFFF"/>
      <name val="Poppins"/>
    </font>
    <font>
      <b/>
      <sz val="10.0"/>
      <color rgb="FF1F2A44"/>
      <name val="Poppins"/>
    </font>
    <font>
      <sz val="10.0"/>
      <color rgb="FF64748B"/>
      <name val="Poppins"/>
    </font>
    <font>
      <b/>
      <sz val="20.0"/>
      <color rgb="FFFFFFFF"/>
      <name val="Poppins"/>
    </font>
    <font>
      <b/>
      <sz val="30.0"/>
      <color rgb="FFFFFFFF"/>
      <name val="Poppins"/>
    </font>
    <font>
      <sz val="9.0"/>
      <color rgb="FF64748B"/>
      <name val="Poppins"/>
    </font>
    <font>
      <sz val="10.0"/>
      <color rgb="FFF4F6FB"/>
      <name val="Poppins"/>
    </font>
  </fonts>
  <fills count="29">
    <fill>
      <patternFill patternType="none"/>
    </fill>
    <fill>
      <patternFill patternType="lightGray"/>
    </fill>
    <fill>
      <patternFill patternType="solid">
        <fgColor rgb="FF057C31"/>
        <bgColor rgb="FF057C31"/>
      </patternFill>
    </fill>
    <fill>
      <patternFill patternType="solid">
        <fgColor rgb="FF86EFAC"/>
        <bgColor rgb="FF86EFAC"/>
      </patternFill>
    </fill>
    <fill>
      <patternFill patternType="solid">
        <fgColor rgb="FF2563EB"/>
        <bgColor rgb="FF2563EB"/>
      </patternFill>
    </fill>
    <fill>
      <patternFill patternType="solid">
        <fgColor rgb="FF93C5FD"/>
        <bgColor rgb="FF93C5FD"/>
      </patternFill>
    </fill>
    <fill>
      <patternFill patternType="solid">
        <fgColor rgb="FFEA580C"/>
        <bgColor rgb="FFEA580C"/>
      </patternFill>
    </fill>
    <fill>
      <patternFill patternType="solid">
        <fgColor rgb="FFFDBA74"/>
        <bgColor rgb="FFFDBA74"/>
      </patternFill>
    </fill>
    <fill>
      <patternFill patternType="solid">
        <fgColor rgb="FF89FD05"/>
        <bgColor rgb="FF89FD05"/>
      </patternFill>
    </fill>
    <fill>
      <patternFill patternType="solid">
        <fgColor rgb="FF8E029B"/>
        <bgColor rgb="FF8E029B"/>
      </patternFill>
    </fill>
    <fill>
      <patternFill patternType="solid">
        <fgColor rgb="FFDA87DE"/>
        <bgColor rgb="FFDA87DE"/>
      </patternFill>
    </fill>
    <fill>
      <patternFill patternType="solid">
        <fgColor rgb="FFEEEEEE"/>
        <bgColor rgb="FFEEEEEE"/>
      </patternFill>
    </fill>
    <fill>
      <patternFill patternType="solid">
        <fgColor rgb="FFFF1500"/>
        <bgColor rgb="FFFF1500"/>
      </patternFill>
    </fill>
    <fill>
      <patternFill patternType="solid">
        <fgColor rgb="FF4E4D44"/>
        <bgColor rgb="FF4E4D44"/>
      </patternFill>
    </fill>
    <fill>
      <patternFill patternType="solid">
        <fgColor rgb="FFF4F6FB"/>
        <bgColor rgb="FFF4F6FB"/>
      </patternFill>
    </fill>
    <fill>
      <patternFill patternType="solid">
        <fgColor rgb="FF141E3C"/>
        <bgColor rgb="FF141E3C"/>
      </patternFill>
    </fill>
    <fill>
      <patternFill patternType="solid">
        <fgColor rgb="FF1E2A52"/>
        <bgColor rgb="FF1E2A52"/>
      </patternFill>
    </fill>
    <fill>
      <patternFill patternType="solid">
        <fgColor rgb="FF1F2A44"/>
        <bgColor rgb="FF1F2A44"/>
      </patternFill>
    </fill>
    <fill>
      <patternFill patternType="solid">
        <fgColor rgb="FF1E2A4A"/>
        <bgColor rgb="FF1E2A4A"/>
      </patternFill>
    </fill>
    <fill>
      <patternFill patternType="solid">
        <fgColor rgb="FFFFF3D6"/>
        <bgColor rgb="FFFFF3D6"/>
      </patternFill>
    </fill>
    <fill>
      <patternFill patternType="solid">
        <fgColor rgb="FFDDEBFF"/>
        <bgColor rgb="FFDDEBFF"/>
      </patternFill>
    </fill>
    <fill>
      <patternFill patternType="solid">
        <fgColor rgb="FFEDE4FB"/>
        <bgColor rgb="FFEDE4FB"/>
      </patternFill>
    </fill>
    <fill>
      <patternFill patternType="solid">
        <fgColor rgb="FFEEF2FF"/>
        <bgColor rgb="FFEEF2FF"/>
      </patternFill>
    </fill>
    <fill>
      <patternFill patternType="solid">
        <fgColor rgb="FFE8ECF7"/>
        <bgColor rgb="FFE8ECF7"/>
      </patternFill>
    </fill>
    <fill>
      <patternFill patternType="solid">
        <fgColor rgb="FFFFFFFF"/>
        <bgColor rgb="FFFFFFFF"/>
      </patternFill>
    </fill>
    <fill>
      <patternFill patternType="solid">
        <fgColor rgb="FFFFF1F2"/>
        <bgColor rgb="FFFFF1F2"/>
      </patternFill>
    </fill>
    <fill>
      <patternFill patternType="solid">
        <fgColor rgb="FF0D9488"/>
        <bgColor rgb="FF0D9488"/>
      </patternFill>
    </fill>
    <fill>
      <patternFill patternType="solid">
        <fgColor rgb="FF4F46E5"/>
        <bgColor rgb="FF4F46E5"/>
      </patternFill>
    </fill>
    <fill>
      <patternFill patternType="solid">
        <fgColor rgb="FF0F766E"/>
        <bgColor rgb="FF0F766E"/>
      </patternFill>
    </fill>
  </fills>
  <borders count="15">
    <border/>
    <border>
      <left style="thin">
        <color rgb="FFC9D4E5"/>
      </left>
      <right style="thin">
        <color rgb="FFC9D4E5"/>
      </right>
      <top style="thin">
        <color rgb="FFC9D4E5"/>
      </top>
    </border>
    <border>
      <left style="thin">
        <color rgb="FFC9D4E5"/>
      </left>
      <top style="thin">
        <color rgb="FFC9D4E5"/>
      </top>
      <bottom style="thin">
        <color rgb="FFC9D4E5"/>
      </bottom>
    </border>
    <border>
      <right style="thin">
        <color rgb="FFC9D4E5"/>
      </right>
      <top style="thin">
        <color rgb="FFC9D4E5"/>
      </top>
      <bottom style="thin">
        <color rgb="FFC9D4E5"/>
      </bottom>
    </border>
    <border>
      <top style="thin">
        <color rgb="FFC9D4E5"/>
      </top>
      <bottom style="thin">
        <color rgb="FFC9D4E5"/>
      </bottom>
    </border>
    <border>
      <left style="thin">
        <color rgb="FFC9D4E5"/>
      </left>
      <right style="thin">
        <color rgb="FFC9D4E5"/>
      </right>
      <top style="thin">
        <color rgb="FFC9D4E5"/>
      </top>
      <bottom style="thin">
        <color rgb="FFC9D4E5"/>
      </bottom>
    </border>
    <border>
      <left style="thin">
        <color rgb="FFC9D4E5"/>
      </left>
      <right style="thin">
        <color rgb="FFC9D4E5"/>
      </right>
      <bottom style="thin">
        <color rgb="FFC9D4E5"/>
      </bottom>
    </border>
    <border>
      <left style="thin">
        <color rgb="FFC9D4E5"/>
      </left>
      <top style="thin">
        <color rgb="FFC9D4E5"/>
      </top>
    </border>
    <border>
      <top style="thin">
        <color rgb="FFC9D4E5"/>
      </top>
    </border>
    <border>
      <right style="thin">
        <color rgb="FFC9D4E5"/>
      </right>
      <top style="thin">
        <color rgb="FFC9D4E5"/>
      </top>
    </border>
    <border>
      <left style="thin">
        <color rgb="FFC9D4E5"/>
      </left>
    </border>
    <border>
      <right style="thin">
        <color rgb="FFC9D4E5"/>
      </right>
    </border>
    <border>
      <left style="thin">
        <color rgb="FFC9D4E5"/>
      </left>
      <bottom style="thin">
        <color rgb="FFC9D4E5"/>
      </bottom>
    </border>
    <border>
      <bottom style="thin">
        <color rgb="FFC9D4E5"/>
      </bottom>
    </border>
    <border>
      <right style="thin">
        <color rgb="FFC9D4E5"/>
      </right>
      <bottom style="thin">
        <color rgb="FFC9D4E5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11" fontId="4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5" numFmtId="0" xfId="0" applyFill="1" applyFont="1"/>
    <xf borderId="0" fillId="15" fontId="6" numFmtId="0" xfId="0" applyAlignment="1" applyFill="1" applyFont="1">
      <alignment readingOrder="0" vertical="center"/>
    </xf>
    <xf borderId="0" fillId="15" fontId="7" numFmtId="0" xfId="0" applyAlignment="1" applyFont="1">
      <alignment horizontal="center" readingOrder="0" vertical="center"/>
    </xf>
    <xf borderId="0" fillId="16" fontId="8" numFmtId="0" xfId="0" applyAlignment="1" applyFill="1" applyFont="1">
      <alignment readingOrder="0" vertical="center"/>
    </xf>
    <xf borderId="0" fillId="16" fontId="9" numFmtId="0" xfId="0" applyAlignment="1" applyFont="1">
      <alignment horizontal="center" readingOrder="0" vertical="center"/>
    </xf>
    <xf borderId="0" fillId="17" fontId="10" numFmtId="0" xfId="0" applyAlignment="1" applyFill="1" applyFont="1">
      <alignment readingOrder="0" vertical="center"/>
    </xf>
    <xf borderId="1" fillId="17" fontId="11" numFmtId="0" xfId="0" applyAlignment="1" applyBorder="1" applyFont="1">
      <alignment horizontal="center" readingOrder="0" vertical="center"/>
    </xf>
    <xf borderId="2" fillId="18" fontId="12" numFmtId="0" xfId="0" applyAlignment="1" applyBorder="1" applyFill="1" applyFont="1">
      <alignment horizontal="center" readingOrder="0" vertical="center"/>
    </xf>
    <xf borderId="3" fillId="0" fontId="13" numFmtId="0" xfId="0" applyBorder="1" applyFont="1"/>
    <xf borderId="2" fillId="19" fontId="14" numFmtId="0" xfId="0" applyAlignment="1" applyBorder="1" applyFill="1" applyFont="1">
      <alignment horizontal="center" readingOrder="0" vertical="center"/>
    </xf>
    <xf borderId="2" fillId="20" fontId="15" numFmtId="0" xfId="0" applyAlignment="1" applyBorder="1" applyFill="1" applyFont="1">
      <alignment horizontal="center" readingOrder="0" vertical="center"/>
    </xf>
    <xf borderId="2" fillId="21" fontId="16" numFmtId="0" xfId="0" applyAlignment="1" applyBorder="1" applyFill="1" applyFont="1">
      <alignment horizontal="center" readingOrder="0" vertical="center"/>
    </xf>
    <xf borderId="2" fillId="22" fontId="17" numFmtId="0" xfId="0" applyAlignment="1" applyBorder="1" applyFill="1" applyFont="1">
      <alignment readingOrder="0" vertical="center"/>
    </xf>
    <xf borderId="4" fillId="0" fontId="13" numFmtId="0" xfId="0" applyBorder="1" applyFont="1"/>
    <xf borderId="5" fillId="23" fontId="18" numFmtId="0" xfId="0" applyAlignment="1" applyBorder="1" applyFill="1" applyFont="1">
      <alignment horizontal="center" readingOrder="0" shrinkToFit="0" vertical="center" wrapText="1"/>
    </xf>
    <xf borderId="6" fillId="0" fontId="13" numFmtId="0" xfId="0" applyBorder="1" applyFont="1"/>
    <xf borderId="5" fillId="24" fontId="19" numFmtId="0" xfId="0" applyAlignment="1" applyBorder="1" applyFill="1" applyFont="1">
      <alignment horizontal="center" readingOrder="0"/>
    </xf>
    <xf borderId="5" fillId="24" fontId="5" numFmtId="0" xfId="0" applyAlignment="1" applyBorder="1" applyFont="1">
      <alignment horizontal="center" shrinkToFit="0" vertical="center" wrapText="0"/>
    </xf>
    <xf borderId="5" fillId="24" fontId="5" numFmtId="0" xfId="0" applyAlignment="1" applyBorder="1" applyFont="1">
      <alignment shrinkToFit="0" vertical="center" wrapText="0"/>
    </xf>
    <xf borderId="5" fillId="22" fontId="17" numFmtId="0" xfId="0" applyAlignment="1" applyBorder="1" applyFont="1">
      <alignment readingOrder="0"/>
    </xf>
    <xf borderId="5" fillId="24" fontId="5" numFmtId="165" xfId="0" applyAlignment="1" applyBorder="1" applyFont="1" applyNumberFormat="1">
      <alignment horizontal="center"/>
    </xf>
    <xf borderId="5" fillId="24" fontId="20" numFmtId="165" xfId="0" applyAlignment="1" applyBorder="1" applyFont="1" applyNumberFormat="1">
      <alignment horizontal="center"/>
    </xf>
    <xf borderId="5" fillId="22" fontId="21" numFmtId="0" xfId="0" applyAlignment="1" applyBorder="1" applyFont="1">
      <alignment horizontal="center" shrinkToFit="0" vertical="center" wrapText="1"/>
    </xf>
    <xf borderId="5" fillId="24" fontId="22" numFmtId="0" xfId="0" applyAlignment="1" applyBorder="1" applyFont="1">
      <alignment horizontal="center" shrinkToFit="0" vertical="center" wrapText="0"/>
    </xf>
    <xf borderId="5" fillId="25" fontId="23" numFmtId="0" xfId="0" applyAlignment="1" applyBorder="1" applyFill="1" applyFont="1">
      <alignment readingOrder="0"/>
    </xf>
    <xf borderId="5" fillId="25" fontId="24" numFmtId="0" xfId="0" applyAlignment="1" applyBorder="1" applyFont="1">
      <alignment horizontal="center" shrinkToFit="0" vertical="center" wrapText="1"/>
    </xf>
    <xf borderId="5" fillId="22" fontId="20" numFmtId="0" xfId="0" applyAlignment="1" applyBorder="1" applyFont="1">
      <alignment readingOrder="0"/>
    </xf>
    <xf borderId="5" fillId="22" fontId="20" numFmtId="165" xfId="0" applyAlignment="1" applyBorder="1" applyFont="1" applyNumberFormat="1">
      <alignment horizontal="center"/>
    </xf>
    <xf borderId="0" fillId="14" fontId="25" numFmtId="0" xfId="0" applyAlignment="1" applyFont="1">
      <alignment readingOrder="0" vertical="center"/>
    </xf>
    <xf borderId="0" fillId="2" fontId="26" numFmtId="0" xfId="0" applyAlignment="1" applyFont="1">
      <alignment horizontal="center" readingOrder="0" shrinkToFit="0" vertical="center" wrapText="0"/>
    </xf>
    <xf borderId="0" fillId="3" fontId="26" numFmtId="0" xfId="0" applyAlignment="1" applyFont="1">
      <alignment horizontal="center" readingOrder="0" shrinkToFit="0" vertical="center" wrapText="0"/>
    </xf>
    <xf borderId="0" fillId="4" fontId="26" numFmtId="0" xfId="0" applyAlignment="1" applyFont="1">
      <alignment horizontal="center" readingOrder="0" shrinkToFit="0" vertical="center" wrapText="0"/>
    </xf>
    <xf borderId="0" fillId="5" fontId="26" numFmtId="0" xfId="0" applyAlignment="1" applyFont="1">
      <alignment horizontal="center" readingOrder="0" shrinkToFit="0" vertical="center" wrapText="0"/>
    </xf>
    <xf borderId="0" fillId="6" fontId="26" numFmtId="0" xfId="0" applyAlignment="1" applyFont="1">
      <alignment horizontal="center" readingOrder="0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8" fontId="26" numFmtId="0" xfId="0" applyAlignment="1" applyFont="1">
      <alignment horizontal="center" readingOrder="0" shrinkToFit="0" vertical="center" wrapText="0"/>
    </xf>
    <xf borderId="0" fillId="9" fontId="26" numFmtId="0" xfId="0" applyAlignment="1" applyFont="1">
      <alignment horizontal="center" readingOrder="0" shrinkToFit="0" vertical="center" wrapText="0"/>
    </xf>
    <xf borderId="0" fillId="10" fontId="26" numFmtId="0" xfId="0" applyAlignment="1" applyFont="1">
      <alignment horizontal="center" readingOrder="0" shrinkToFit="0" vertical="center" wrapText="0"/>
    </xf>
    <xf borderId="0" fillId="11" fontId="27" numFmtId="0" xfId="0" applyAlignment="1" applyFont="1">
      <alignment horizontal="center" readingOrder="0" shrinkToFit="0" vertical="center" wrapText="0"/>
    </xf>
    <xf borderId="0" fillId="12" fontId="26" numFmtId="0" xfId="0" applyAlignment="1" applyFont="1">
      <alignment horizontal="center" readingOrder="0" shrinkToFit="0" vertical="center" wrapText="0"/>
    </xf>
    <xf borderId="0" fillId="13" fontId="26" numFmtId="0" xfId="0" applyAlignment="1" applyFont="1">
      <alignment horizontal="center" readingOrder="0" shrinkToFit="0" vertical="center" wrapText="0"/>
    </xf>
    <xf borderId="0" fillId="17" fontId="10" numFmtId="0" xfId="0" applyAlignment="1" applyFont="1">
      <alignment horizontal="left" readingOrder="0" vertical="center"/>
    </xf>
    <xf borderId="0" fillId="26" fontId="28" numFmtId="0" xfId="0" applyAlignment="1" applyFill="1" applyFont="1">
      <alignment horizontal="center" readingOrder="0" vertical="center"/>
    </xf>
    <xf borderId="0" fillId="26" fontId="29" numFmtId="166" xfId="0" applyAlignment="1" applyFont="1" applyNumberFormat="1">
      <alignment horizontal="center" vertical="center"/>
    </xf>
    <xf borderId="2" fillId="23" fontId="30" numFmtId="0" xfId="0" applyAlignment="1" applyBorder="1" applyFont="1">
      <alignment horizontal="center" readingOrder="0" vertical="center"/>
    </xf>
    <xf borderId="2" fillId="24" fontId="20" numFmtId="0" xfId="0" applyAlignment="1" applyBorder="1" applyFont="1">
      <alignment readingOrder="0" vertical="center"/>
    </xf>
    <xf borderId="2" fillId="24" fontId="20" numFmtId="165" xfId="0" applyAlignment="1" applyBorder="1" applyFont="1" applyNumberFormat="1">
      <alignment horizontal="center" vertical="center"/>
    </xf>
    <xf borderId="2" fillId="24" fontId="31" numFmtId="167" xfId="0" applyAlignment="1" applyBorder="1" applyFont="1" applyNumberFormat="1">
      <alignment horizontal="center" vertical="center"/>
    </xf>
    <xf borderId="2" fillId="24" fontId="5" numFmtId="0" xfId="0" applyAlignment="1" applyBorder="1" applyFont="1">
      <alignment vertical="center"/>
    </xf>
    <xf borderId="5" fillId="23" fontId="18" numFmtId="0" xfId="0" applyAlignment="1" applyBorder="1" applyFont="1">
      <alignment horizontal="center" readingOrder="0" vertical="center"/>
    </xf>
    <xf borderId="2" fillId="23" fontId="18" numFmtId="0" xfId="0" applyAlignment="1" applyBorder="1" applyFont="1">
      <alignment horizontal="center" readingOrder="0" vertical="center"/>
    </xf>
    <xf borderId="2" fillId="25" fontId="23" numFmtId="0" xfId="0" applyAlignment="1" applyBorder="1" applyFont="1">
      <alignment readingOrder="0" vertical="center"/>
    </xf>
    <xf borderId="2" fillId="22" fontId="5" numFmtId="0" xfId="0" applyBorder="1" applyFont="1"/>
    <xf borderId="5" fillId="24" fontId="31" numFmtId="0" xfId="0" applyAlignment="1" applyBorder="1" applyFont="1">
      <alignment readingOrder="0"/>
    </xf>
    <xf borderId="5" fillId="24" fontId="20" numFmtId="2" xfId="0" applyAlignment="1" applyBorder="1" applyFont="1" applyNumberFormat="1">
      <alignment horizontal="center"/>
    </xf>
    <xf borderId="2" fillId="24" fontId="5" numFmtId="0" xfId="0" applyBorder="1" applyFont="1"/>
    <xf borderId="2" fillId="22" fontId="20" numFmtId="0" xfId="0" applyAlignment="1" applyBorder="1" applyFont="1">
      <alignment readingOrder="0" vertical="center"/>
    </xf>
    <xf borderId="2" fillId="22" fontId="20" numFmtId="165" xfId="0" applyAlignment="1" applyBorder="1" applyFont="1" applyNumberFormat="1">
      <alignment horizontal="center" vertical="center"/>
    </xf>
    <xf borderId="2" fillId="22" fontId="20" numFmtId="167" xfId="0" applyAlignment="1" applyBorder="1" applyFont="1" applyNumberFormat="1">
      <alignment horizontal="center" vertical="center"/>
    </xf>
    <xf borderId="2" fillId="24" fontId="31" numFmtId="0" xfId="0" applyAlignment="1" applyBorder="1" applyFont="1">
      <alignment readingOrder="0" vertical="center"/>
    </xf>
    <xf borderId="2" fillId="24" fontId="31" numFmtId="165" xfId="0" applyAlignment="1" applyBorder="1" applyFont="1" applyNumberFormat="1">
      <alignment horizontal="center" vertical="center"/>
    </xf>
    <xf borderId="5" fillId="24" fontId="20" numFmtId="0" xfId="0" applyAlignment="1" applyBorder="1" applyFont="1">
      <alignment readingOrder="0"/>
    </xf>
    <xf borderId="5" fillId="24" fontId="5" numFmtId="168" xfId="0" applyAlignment="1" applyBorder="1" applyFont="1" applyNumberFormat="1">
      <alignment horizontal="center" vertical="center"/>
    </xf>
    <xf borderId="5" fillId="22" fontId="20" numFmtId="169" xfId="0" applyAlignment="1" applyBorder="1" applyFont="1" applyNumberFormat="1">
      <alignment horizontal="center" vertical="center"/>
    </xf>
    <xf borderId="5" fillId="24" fontId="5" numFmtId="170" xfId="0" applyAlignment="1" applyBorder="1" applyFont="1" applyNumberFormat="1">
      <alignment horizontal="center" vertical="center"/>
    </xf>
    <xf borderId="5" fillId="22" fontId="20" numFmtId="171" xfId="0" applyAlignment="1" applyBorder="1" applyFont="1" applyNumberFormat="1">
      <alignment horizontal="center" vertical="center"/>
    </xf>
    <xf borderId="5" fillId="24" fontId="5" numFmtId="172" xfId="0" applyAlignment="1" applyBorder="1" applyFont="1" applyNumberFormat="1">
      <alignment horizontal="center" vertical="center"/>
    </xf>
    <xf borderId="5" fillId="22" fontId="20" numFmtId="173" xfId="0" applyAlignment="1" applyBorder="1" applyFont="1" applyNumberFormat="1">
      <alignment horizontal="center" vertical="center"/>
    </xf>
    <xf borderId="5" fillId="24" fontId="5" numFmtId="1" xfId="0" applyAlignment="1" applyBorder="1" applyFont="1" applyNumberFormat="1">
      <alignment horizontal="center" vertical="center"/>
    </xf>
    <xf borderId="5" fillId="22" fontId="20" numFmtId="165" xfId="0" applyAlignment="1" applyBorder="1" applyFont="1" applyNumberFormat="1">
      <alignment horizontal="center" vertical="center"/>
    </xf>
    <xf borderId="5" fillId="24" fontId="5" numFmtId="174" xfId="0" applyAlignment="1" applyBorder="1" applyFont="1" applyNumberFormat="1">
      <alignment horizontal="center" vertical="center"/>
    </xf>
    <xf borderId="5" fillId="22" fontId="20" numFmtId="175" xfId="0" applyAlignment="1" applyBorder="1" applyFont="1" applyNumberFormat="1">
      <alignment horizontal="center" vertical="center"/>
    </xf>
    <xf borderId="5" fillId="24" fontId="5" numFmtId="176" xfId="0" applyAlignment="1" applyBorder="1" applyFont="1" applyNumberFormat="1">
      <alignment horizontal="center" vertical="center"/>
    </xf>
    <xf borderId="5" fillId="22" fontId="20" numFmtId="177" xfId="0" applyAlignment="1" applyBorder="1" applyFont="1" applyNumberFormat="1">
      <alignment horizontal="center" vertical="center"/>
    </xf>
    <xf borderId="2" fillId="23" fontId="18" numFmtId="0" xfId="0" applyAlignment="1" applyBorder="1" applyFont="1">
      <alignment readingOrder="0" vertical="center"/>
    </xf>
    <xf borderId="5" fillId="24" fontId="5" numFmtId="0" xfId="0" applyAlignment="1" applyBorder="1" applyFont="1">
      <alignment horizontal="center" vertical="center"/>
    </xf>
    <xf borderId="5" fillId="22" fontId="20" numFmtId="0" xfId="0" applyAlignment="1" applyBorder="1" applyFont="1">
      <alignment horizontal="center" vertical="center"/>
    </xf>
    <xf borderId="0" fillId="23" fontId="18" numFmtId="0" xfId="0" applyAlignment="1" applyFont="1">
      <alignment readingOrder="0" vertical="center"/>
    </xf>
    <xf borderId="0" fillId="23" fontId="30" numFmtId="0" xfId="0" applyAlignment="1" applyFont="1">
      <alignment readingOrder="0" vertical="center"/>
    </xf>
    <xf borderId="7" fillId="24" fontId="5" numFmtId="0" xfId="0" applyAlignment="1" applyBorder="1" applyFont="1">
      <alignment horizontal="left" shrinkToFit="0" vertical="top" wrapText="1"/>
    </xf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3" fillId="0" fontId="13" numFmtId="0" xfId="0" applyBorder="1" applyFont="1"/>
    <xf borderId="14" fillId="0" fontId="13" numFmtId="0" xfId="0" applyBorder="1" applyFont="1"/>
    <xf borderId="2" fillId="24" fontId="5" numFmtId="0" xfId="0" applyAlignment="1" applyBorder="1" applyFont="1">
      <alignment readingOrder="0" vertical="center"/>
    </xf>
    <xf borderId="2" fillId="24" fontId="5" numFmtId="178" xfId="0" applyAlignment="1" applyBorder="1" applyFont="1" applyNumberFormat="1">
      <alignment horizontal="center" readingOrder="0" vertical="center"/>
    </xf>
    <xf borderId="2" fillId="24" fontId="20" numFmtId="0" xfId="0" applyAlignment="1" applyBorder="1" applyFont="1">
      <alignment horizontal="center" vertical="center"/>
    </xf>
    <xf borderId="2" fillId="24" fontId="5" numFmtId="178" xfId="0" applyAlignment="1" applyBorder="1" applyFont="1" applyNumberFormat="1">
      <alignment horizontal="center" vertical="center"/>
    </xf>
    <xf borderId="0" fillId="22" fontId="17" numFmtId="0" xfId="0" applyAlignment="1" applyFont="1">
      <alignment vertical="center"/>
    </xf>
    <xf borderId="0" fillId="25" fontId="23" numFmtId="0" xfId="0" applyAlignment="1" applyFont="1">
      <alignment vertical="center"/>
    </xf>
    <xf borderId="0" fillId="2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0" fillId="26" fontId="11" numFmtId="0" xfId="0" applyAlignment="1" applyFont="1">
      <alignment horizontal="center" readingOrder="0" vertical="center"/>
    </xf>
    <xf borderId="0" fillId="2" fontId="32" numFmtId="166" xfId="0" applyAlignment="1" applyFont="1" applyNumberFormat="1">
      <alignment horizontal="center" vertical="center"/>
    </xf>
    <xf borderId="0" fillId="4" fontId="32" numFmtId="166" xfId="0" applyAlignment="1" applyFont="1" applyNumberFormat="1">
      <alignment horizontal="center" vertical="center"/>
    </xf>
    <xf borderId="0" fillId="6" fontId="32" numFmtId="166" xfId="0" applyAlignment="1" applyFont="1" applyNumberFormat="1">
      <alignment horizontal="center" vertical="center"/>
    </xf>
    <xf borderId="0" fillId="9" fontId="32" numFmtId="166" xfId="0" applyAlignment="1" applyFont="1" applyNumberFormat="1">
      <alignment horizontal="center" vertical="center"/>
    </xf>
    <xf borderId="0" fillId="26" fontId="32" numFmtId="166" xfId="0" applyAlignment="1" applyFont="1" applyNumberFormat="1">
      <alignment horizontal="center" vertical="center"/>
    </xf>
    <xf borderId="0" fillId="8" fontId="11" numFmtId="0" xfId="0" applyAlignment="1" applyFont="1">
      <alignment horizontal="center" readingOrder="0" vertical="center"/>
    </xf>
    <xf borderId="0" fillId="13" fontId="11" numFmtId="0" xfId="0" applyAlignment="1" applyFont="1">
      <alignment horizontal="center" readingOrder="0" vertical="center"/>
    </xf>
    <xf borderId="0" fillId="12" fontId="11" numFmtId="0" xfId="0" applyAlignment="1" applyFont="1">
      <alignment horizontal="center" readingOrder="0" vertical="center"/>
    </xf>
    <xf borderId="0" fillId="27" fontId="11" numFmtId="0" xfId="0" applyAlignment="1" applyFill="1" applyFont="1">
      <alignment horizontal="center" readingOrder="0" vertical="center"/>
    </xf>
    <xf borderId="0" fillId="28" fontId="11" numFmtId="0" xfId="0" applyAlignment="1" applyFill="1" applyFont="1">
      <alignment horizontal="center" readingOrder="0" vertical="center"/>
    </xf>
    <xf borderId="0" fillId="8" fontId="32" numFmtId="166" xfId="0" applyAlignment="1" applyFont="1" applyNumberFormat="1">
      <alignment horizontal="center" vertical="center"/>
    </xf>
    <xf borderId="0" fillId="13" fontId="32" numFmtId="166" xfId="0" applyAlignment="1" applyFont="1" applyNumberFormat="1">
      <alignment horizontal="center" vertical="center"/>
    </xf>
    <xf borderId="0" fillId="12" fontId="32" numFmtId="166" xfId="0" applyAlignment="1" applyFont="1" applyNumberFormat="1">
      <alignment horizontal="center" vertical="center"/>
    </xf>
    <xf borderId="0" fillId="27" fontId="32" numFmtId="179" xfId="0" applyAlignment="1" applyFont="1" applyNumberFormat="1">
      <alignment horizontal="center" vertical="center"/>
    </xf>
    <xf borderId="0" fillId="28" fontId="32" numFmtId="180" xfId="0" applyAlignment="1" applyFont="1" applyNumberFormat="1">
      <alignment horizontal="center" vertical="center"/>
    </xf>
    <xf borderId="5" fillId="23" fontId="30" numFmtId="0" xfId="0" applyAlignment="1" applyBorder="1" applyFont="1">
      <alignment horizontal="center" readingOrder="0" shrinkToFit="0" vertical="center" wrapText="1"/>
    </xf>
    <xf borderId="2" fillId="23" fontId="30" numFmtId="0" xfId="0" applyAlignment="1" applyBorder="1" applyFont="1">
      <alignment horizontal="center" readingOrder="0" shrinkToFit="0" vertical="center" wrapText="1"/>
    </xf>
    <xf borderId="5" fillId="24" fontId="31" numFmtId="167" xfId="0" applyAlignment="1" applyBorder="1" applyFont="1" applyNumberFormat="1">
      <alignment horizontal="center"/>
    </xf>
    <xf borderId="5" fillId="22" fontId="20" numFmtId="167" xfId="0" applyAlignment="1" applyBorder="1" applyFont="1" applyNumberFormat="1">
      <alignment horizontal="center"/>
    </xf>
    <xf borderId="2" fillId="24" fontId="20" numFmtId="166" xfId="0" applyAlignment="1" applyBorder="1" applyFont="1" applyNumberFormat="1">
      <alignment horizontal="center" vertical="center"/>
    </xf>
    <xf borderId="7" fillId="27" fontId="33" numFmtId="1" xfId="0" applyAlignment="1" applyBorder="1" applyFont="1" applyNumberFormat="1">
      <alignment horizontal="center" vertical="center"/>
    </xf>
    <xf borderId="8" fillId="24" fontId="5" numFmtId="0" xfId="0" applyAlignment="1" applyBorder="1" applyFont="1">
      <alignment vertical="center"/>
    </xf>
    <xf borderId="2" fillId="24" fontId="20" numFmtId="180" xfId="0" applyAlignment="1" applyBorder="1" applyFont="1" applyNumberFormat="1">
      <alignment horizontal="center" vertical="center"/>
    </xf>
    <xf borderId="0" fillId="24" fontId="34" numFmtId="0" xfId="0" applyAlignment="1" applyFont="1">
      <alignment horizontal="center" readingOrder="0" vertical="center"/>
    </xf>
    <xf borderId="13" fillId="24" fontId="20" numFmtId="0" xfId="0" applyAlignment="1" applyBorder="1" applyFont="1">
      <alignment horizontal="center" vertical="center"/>
    </xf>
    <xf borderId="2" fillId="24" fontId="20" numFmtId="167" xfId="0" applyAlignment="1" applyBorder="1" applyFont="1" applyNumberFormat="1">
      <alignment horizontal="center" vertical="center"/>
    </xf>
    <xf borderId="2" fillId="22" fontId="20" numFmtId="166" xfId="0" applyAlignment="1" applyBorder="1" applyFont="1" applyNumberFormat="1">
      <alignment horizontal="center" vertical="center"/>
    </xf>
    <xf borderId="2" fillId="24" fontId="20" numFmtId="49" xfId="0" applyAlignment="1" applyBorder="1" applyFont="1" applyNumberFormat="1">
      <alignment horizontal="center" vertical="center"/>
    </xf>
    <xf borderId="0" fillId="14" fontId="35" numFmtId="0" xfId="0" applyAlignment="1" applyFont="1">
      <alignment readingOrder="0"/>
    </xf>
    <xf borderId="0" fillId="14" fontId="35" numFmtId="1" xfId="0" applyFont="1" applyNumberFormat="1"/>
  </cellXfs>
  <cellStyles count="1">
    <cellStyle xfId="0" name="Normal" builtinId="0"/>
  </cellStyles>
  <dxfs count="13">
    <dxf>
      <font>
        <b/>
        <color rgb="FFFFFFFF"/>
      </font>
      <fill>
        <patternFill patternType="solid">
          <fgColor rgb="FF057C31"/>
          <bgColor rgb="FF057C31"/>
        </patternFill>
      </fill>
      <border/>
    </dxf>
    <dxf>
      <font>
        <b/>
        <color rgb="FFFFFFFF"/>
      </font>
      <fill>
        <patternFill patternType="solid">
          <fgColor rgb="FF86EFAC"/>
          <bgColor rgb="FF86EFAC"/>
        </patternFill>
      </fill>
      <border/>
    </dxf>
    <dxf>
      <font>
        <b/>
        <color rgb="FFFFFFFF"/>
      </font>
      <fill>
        <patternFill patternType="solid">
          <fgColor rgb="FF2563EB"/>
          <bgColor rgb="FF2563EB"/>
        </patternFill>
      </fill>
      <border/>
    </dxf>
    <dxf>
      <font>
        <b/>
        <color rgb="FFFFFFFF"/>
      </font>
      <fill>
        <patternFill patternType="solid">
          <fgColor rgb="FF93C5FD"/>
          <bgColor rgb="FF93C5FD"/>
        </patternFill>
      </fill>
      <border/>
    </dxf>
    <dxf>
      <font>
        <b/>
        <color rgb="FFFFFFFF"/>
      </font>
      <fill>
        <patternFill patternType="solid">
          <fgColor rgb="FFEA580C"/>
          <bgColor rgb="FFEA580C"/>
        </patternFill>
      </fill>
      <border/>
    </dxf>
    <dxf>
      <font>
        <b/>
        <color rgb="FFFFFFFF"/>
      </font>
      <fill>
        <patternFill patternType="solid">
          <fgColor rgb="FFFDBA74"/>
          <bgColor rgb="FFFDBA74"/>
        </patternFill>
      </fill>
      <border/>
    </dxf>
    <dxf>
      <font>
        <b/>
        <color rgb="FFFFFFFF"/>
      </font>
      <fill>
        <patternFill patternType="solid">
          <fgColor rgb="FF89FD05"/>
          <bgColor rgb="FF89FD05"/>
        </patternFill>
      </fill>
      <border/>
    </dxf>
    <dxf>
      <font>
        <b/>
        <color rgb="FFFFFFFF"/>
      </font>
      <fill>
        <patternFill patternType="solid">
          <fgColor rgb="FF8E029B"/>
          <bgColor rgb="FF8E029B"/>
        </patternFill>
      </fill>
      <border/>
    </dxf>
    <dxf>
      <font>
        <b/>
        <color rgb="FFFFFFFF"/>
      </font>
      <fill>
        <patternFill patternType="solid">
          <fgColor rgb="FFDA87DE"/>
          <bgColor rgb="FFDA87DE"/>
        </patternFill>
      </fill>
      <border/>
    </dxf>
    <dxf>
      <font>
        <b/>
        <color rgb="FF5F4B00"/>
      </font>
      <fill>
        <patternFill patternType="solid">
          <fgColor rgb="FFEEEEEE"/>
          <bgColor rgb="FFEEEEEE"/>
        </patternFill>
      </fill>
      <border/>
    </dxf>
    <dxf>
      <font>
        <b/>
        <color rgb="FFFFFFFF"/>
      </font>
      <fill>
        <patternFill patternType="solid">
          <fgColor rgb="FFFF1500"/>
          <bgColor rgb="FFFF1500"/>
        </patternFill>
      </fill>
      <border/>
    </dxf>
    <dxf>
      <font>
        <b/>
        <color rgb="FFFFFFFF"/>
      </font>
      <fill>
        <patternFill patternType="solid">
          <fgColor rgb="FF4E4D44"/>
          <bgColor rgb="FF4E4D44"/>
        </patternFill>
      </fill>
      <border/>
    </dxf>
    <dxf>
      <font>
        <strike/>
        <color rgb="FF94A3B8"/>
      </font>
      <fill>
        <patternFill patternType="solid">
          <fgColor rgb="FFF1F5F9"/>
          <bgColor rgb="FFF1F5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💻 Programming — codding + learn-prog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1'!$BE$4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1'!$BE$5:$BE$11</c:f>
              <c:numCache/>
            </c:numRef>
          </c:val>
        </c:ser>
        <c:ser>
          <c:idx val="1"/>
          <c:order val="1"/>
          <c:tx>
            <c:strRef>
              <c:f>'Week 1'!$BF$4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1'!$BF$5:$BF$11</c:f>
              <c:numCache/>
            </c:numRef>
          </c:val>
        </c:ser>
        <c:overlap val="100"/>
        <c:axId val="1312804638"/>
        <c:axId val="836129552"/>
      </c:barChart>
      <c:catAx>
        <c:axId val="1312804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129552"/>
      </c:catAx>
      <c:valAx>
        <c:axId val="8361295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8046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📚 English — En-book + En-listening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1'!$BG$4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1'!$BG$5:$BG$11</c:f>
              <c:numCache/>
            </c:numRef>
          </c:val>
        </c:ser>
        <c:ser>
          <c:idx val="1"/>
          <c:order val="1"/>
          <c:tx>
            <c:strRef>
              <c:f>'Week 1'!$BH$4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1'!$BH$5:$BH$11</c:f>
              <c:numCache/>
            </c:numRef>
          </c:val>
        </c:ser>
        <c:overlap val="100"/>
        <c:axId val="399751849"/>
        <c:axId val="1882754965"/>
      </c:barChart>
      <c:catAx>
        <c:axId val="399751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754965"/>
      </c:catAx>
      <c:valAx>
        <c:axId val="188275496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7518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Exercises — Run + Gym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1'!$BI$4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1'!$BI$5:$BI$11</c:f>
              <c:numCache/>
            </c:numRef>
          </c:val>
        </c:ser>
        <c:ser>
          <c:idx val="1"/>
          <c:order val="1"/>
          <c:tx>
            <c:strRef>
              <c:f>'Week 1'!$BJ$4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1'!$BJ$5:$BJ$11</c:f>
              <c:numCache/>
            </c:numRef>
          </c:val>
        </c:ser>
        <c:overlap val="100"/>
        <c:axId val="1344316038"/>
        <c:axId val="1026959665"/>
      </c:barChart>
      <c:catAx>
        <c:axId val="1344316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959665"/>
      </c:catAx>
      <c:valAx>
        <c:axId val="102695966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3160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🧘 Meditate — Meditation + Setar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1'!$BL$4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1'!$BL$5:$BL$11</c:f>
              <c:numCache/>
            </c:numRef>
          </c:val>
        </c:ser>
        <c:ser>
          <c:idx val="1"/>
          <c:order val="1"/>
          <c:tx>
            <c:strRef>
              <c:f>'Week 1'!$BM$4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1'!$BM$5:$BM$11</c:f>
              <c:numCache/>
            </c:numRef>
          </c:val>
        </c:ser>
        <c:overlap val="100"/>
        <c:axId val="610677204"/>
        <c:axId val="1234589049"/>
      </c:barChart>
      <c:catAx>
        <c:axId val="610677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589049"/>
      </c:catAx>
      <c:valAx>
        <c:axId val="123458904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6772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🧑‍💻 Daily Work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1'!$BK$5:$BK$11</c:f>
              <c:numCache/>
            </c:numRef>
          </c:val>
        </c:ser>
        <c:axId val="1406086436"/>
        <c:axId val="1510351336"/>
      </c:barChart>
      <c:catAx>
        <c:axId val="1406086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351336"/>
      </c:catAx>
      <c:valAx>
        <c:axId val="151035133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086436"/>
      </c:valAx>
    </c:plotArea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😴 Daily Sleep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1'!$BP$5:$BP$11</c:f>
              <c:numCache/>
            </c:numRef>
          </c:val>
        </c:ser>
        <c:axId val="702790407"/>
        <c:axId val="854837793"/>
      </c:barChart>
      <c:catAx>
        <c:axId val="70279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837793"/>
      </c:catAx>
      <c:valAx>
        <c:axId val="85483779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790407"/>
      </c:valAx>
    </c:plotArea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📋 Daily Personal Tasks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1'!$BN$4</c:f>
            </c:strRef>
          </c:tx>
          <c:spPr>
            <a:solidFill>
              <a:srgbClr val="CFCFCF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1'!$BN$5:$BN$11</c:f>
              <c:numCache/>
            </c:numRef>
          </c:val>
        </c:ser>
        <c:axId val="1436792286"/>
        <c:axId val="712053709"/>
      </c:barChart>
      <c:catAx>
        <c:axId val="1436792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053709"/>
      </c:catAx>
      <c:valAx>
        <c:axId val="7120537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792286"/>
      </c:valAx>
    </c:plotArea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⌛ Daily Wasted Time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1'!$BO$5:$BO$11</c:f>
              <c:numCache/>
            </c:numRef>
          </c:val>
        </c:ser>
        <c:axId val="1612993320"/>
        <c:axId val="903946762"/>
      </c:barChart>
      <c:catAx>
        <c:axId val="1612993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946762"/>
      </c:catAx>
      <c:valAx>
        <c:axId val="90394676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993320"/>
      </c:valAx>
    </c:plotArea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🥧 Weekly Activity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57C31"/>
              </a:solidFill>
            </c:spPr>
          </c:dPt>
          <c:dPt>
            <c:idx val="1"/>
            <c:spPr>
              <a:solidFill>
                <a:srgbClr val="86EFA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93C5FD"/>
              </a:solidFill>
            </c:spPr>
          </c:dPt>
          <c:dPt>
            <c:idx val="4"/>
            <c:spPr>
              <a:solidFill>
                <a:srgbClr val="EA580C"/>
              </a:solidFill>
            </c:spPr>
          </c:dPt>
          <c:dPt>
            <c:idx val="5"/>
            <c:spPr>
              <a:solidFill>
                <a:srgbClr val="FDBA74"/>
              </a:solidFill>
            </c:spPr>
          </c:dPt>
          <c:dPt>
            <c:idx val="6"/>
            <c:spPr>
              <a:solidFill>
                <a:srgbClr val="89FD05"/>
              </a:solidFill>
            </c:spPr>
          </c:dPt>
          <c:dPt>
            <c:idx val="7"/>
            <c:spPr>
              <a:solidFill>
                <a:srgbClr val="8E029B"/>
              </a:solidFill>
            </c:spPr>
          </c:dPt>
          <c:dPt>
            <c:idx val="8"/>
            <c:spPr>
              <a:solidFill>
                <a:srgbClr val="DA87DE"/>
              </a:solidFill>
            </c:spPr>
          </c:dPt>
          <c:dPt>
            <c:idx val="9"/>
            <c:spPr>
              <a:solidFill>
                <a:srgbClr val="EEEEEE"/>
              </a:solidFill>
            </c:spPr>
          </c:dPt>
          <c:dPt>
            <c:idx val="10"/>
            <c:spPr>
              <a:solidFill>
                <a:srgbClr val="FF1500"/>
              </a:solidFill>
            </c:spPr>
          </c:dPt>
          <c:dPt>
            <c:idx val="11"/>
            <c:spPr>
              <a:solidFill>
                <a:srgbClr val="4E4D4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'Week 1'!$B$18:$B$29</c:f>
            </c:strRef>
          </c:cat>
          <c:val>
            <c:numRef>
              <c:f>'Week 1'!$F$18:$F$29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📈 Weekly Productivity Trend — how each day was spent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1'!$BE$4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1'!$BE$5:$BE$11</c:f>
              <c:numCache/>
            </c:numRef>
          </c:val>
        </c:ser>
        <c:ser>
          <c:idx val="1"/>
          <c:order val="1"/>
          <c:tx>
            <c:strRef>
              <c:f>'Week 1'!$BF$4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1'!$BF$5:$BF$11</c:f>
              <c:numCache/>
            </c:numRef>
          </c:val>
        </c:ser>
        <c:ser>
          <c:idx val="2"/>
          <c:order val="2"/>
          <c:tx>
            <c:strRef>
              <c:f>'Week 1'!$BG$4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1'!$BG$5:$BG$11</c:f>
              <c:numCache/>
            </c:numRef>
          </c:val>
        </c:ser>
        <c:ser>
          <c:idx val="3"/>
          <c:order val="3"/>
          <c:tx>
            <c:strRef>
              <c:f>'Week 1'!$BH$4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1'!$BH$5:$BH$11</c:f>
              <c:numCache/>
            </c:numRef>
          </c:val>
        </c:ser>
        <c:ser>
          <c:idx val="4"/>
          <c:order val="4"/>
          <c:tx>
            <c:strRef>
              <c:f>'Week 1'!$BI$4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1'!$BI$5:$BI$11</c:f>
              <c:numCache/>
            </c:numRef>
          </c:val>
        </c:ser>
        <c:ser>
          <c:idx val="5"/>
          <c:order val="5"/>
          <c:tx>
            <c:strRef>
              <c:f>'Week 1'!$BJ$4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1'!$BJ$5:$BJ$11</c:f>
              <c:numCache/>
            </c:numRef>
          </c:val>
        </c:ser>
        <c:ser>
          <c:idx val="6"/>
          <c:order val="6"/>
          <c:tx>
            <c:strRef>
              <c:f>'Week 1'!$BK$4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1'!$BK$5:$BK$11</c:f>
              <c:numCache/>
            </c:numRef>
          </c:val>
        </c:ser>
        <c:ser>
          <c:idx val="7"/>
          <c:order val="7"/>
          <c:tx>
            <c:strRef>
              <c:f>'Week 1'!$BL$4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1'!$BL$5:$BL$11</c:f>
              <c:numCache/>
            </c:numRef>
          </c:val>
        </c:ser>
        <c:ser>
          <c:idx val="8"/>
          <c:order val="8"/>
          <c:tx>
            <c:strRef>
              <c:f>'Week 1'!$BM$4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1'!$BM$5:$BM$11</c:f>
              <c:numCache/>
            </c:numRef>
          </c:val>
        </c:ser>
        <c:ser>
          <c:idx val="9"/>
          <c:order val="9"/>
          <c:tx>
            <c:strRef>
              <c:f>'Week 1'!$BN$4</c:f>
            </c:strRef>
          </c:tx>
          <c:spPr>
            <a:solidFill>
              <a:srgbClr val="EEEEEE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1'!$BN$5:$BN$11</c:f>
              <c:numCache/>
            </c:numRef>
          </c:val>
        </c:ser>
        <c:ser>
          <c:idx val="10"/>
          <c:order val="10"/>
          <c:tx>
            <c:strRef>
              <c:f>'Week 1'!$BO$4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1'!$BO$5:$BO$11</c:f>
              <c:numCache/>
            </c:numRef>
          </c:val>
        </c:ser>
        <c:ser>
          <c:idx val="11"/>
          <c:order val="11"/>
          <c:tx>
            <c:strRef>
              <c:f>'Week 1'!$BP$4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1'!$BD$5:$BD$11</c:f>
            </c:strRef>
          </c:cat>
          <c:val>
            <c:numRef>
              <c:f>'Week 1'!$BP$5:$BP$11</c:f>
              <c:numCache/>
            </c:numRef>
          </c:val>
        </c:ser>
        <c:overlap val="100"/>
        <c:axId val="1436250230"/>
        <c:axId val="1359510078"/>
      </c:barChart>
      <c:catAx>
        <c:axId val="1436250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510078"/>
      </c:catAx>
      <c:valAx>
        <c:axId val="135951007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2502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⚡ Daily Productive Hours — Programming + English + Exercises + Work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1'!$BE$19</c:f>
            </c:strRef>
          </c:tx>
          <c:spPr>
            <a:solidFill>
              <a:srgbClr val="0D9488"/>
            </a:solidFill>
            <a:ln cmpd="sng">
              <a:noFill/>
            </a:ln>
          </c:spPr>
          <c:cat>
            <c:strRef>
              <c:f>'Week 1'!$BD$20:$BD$26</c:f>
            </c:strRef>
          </c:cat>
          <c:val>
            <c:numRef>
              <c:f>'Week 1'!$BE$20:$BE$26</c:f>
              <c:numCache/>
            </c:numRef>
          </c:val>
        </c:ser>
        <c:axId val="1734945356"/>
        <c:axId val="296371"/>
      </c:barChart>
      <c:catAx>
        <c:axId val="1734945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371"/>
      </c:catAx>
      <c:valAx>
        <c:axId val="29637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945356"/>
      </c:valAx>
    </c:plotArea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💧 Water Intake (Liters)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1'!$BE$46</c:f>
            </c:strRef>
          </c:tx>
          <c:cat>
            <c:strRef>
              <c:f>'Week 1'!$BD$47:$BD$53</c:f>
            </c:strRef>
          </c:cat>
          <c:val>
            <c:numRef>
              <c:f>'Week 1'!$BE$47:$BE$53</c:f>
              <c:numCache/>
            </c:numRef>
          </c:val>
        </c:ser>
        <c:axId val="9093712"/>
        <c:axId val="826797833"/>
      </c:barChart>
      <c:catAx>
        <c:axId val="909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797833"/>
      </c:catAx>
      <c:valAx>
        <c:axId val="82679783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093712"/>
      </c:valAx>
    </c:plotArea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🍬 Sugar Intake (Grams)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1'!$BF$46</c:f>
            </c:strRef>
          </c:tx>
          <c:cat>
            <c:strRef>
              <c:f>'Week 1'!$BD$47:$BD$53</c:f>
            </c:strRef>
          </c:cat>
          <c:val>
            <c:numRef>
              <c:f>'Week 1'!$BF$47:$BF$53</c:f>
              <c:numCache/>
            </c:numRef>
          </c:val>
        </c:ser>
        <c:axId val="1460375017"/>
        <c:axId val="1464052315"/>
      </c:barChart>
      <c:catAx>
        <c:axId val="146037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052315"/>
      </c:catAx>
      <c:valAx>
        <c:axId val="14640523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0375017"/>
      </c:valAx>
    </c:plotArea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🥑 Fat Intake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1'!$BG$46</c:f>
            </c:strRef>
          </c:tx>
          <c:cat>
            <c:strRef>
              <c:f>'Week 1'!$BD$47:$BD$53</c:f>
            </c:strRef>
          </c:cat>
          <c:val>
            <c:numRef>
              <c:f>'Week 1'!$BG$47:$BG$53</c:f>
              <c:numCache/>
            </c:numRef>
          </c:val>
        </c:ser>
        <c:axId val="1061800223"/>
        <c:axId val="989536477"/>
      </c:barChart>
      <c:catAx>
        <c:axId val="106180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536477"/>
      </c:catAx>
      <c:valAx>
        <c:axId val="9895364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61800223"/>
      </c:valAx>
    </c:plotArea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Sit-ups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1'!$BH$46</c:f>
            </c:strRef>
          </c:tx>
          <c:cat>
            <c:strRef>
              <c:f>'Week 1'!$BD$47:$BD$53</c:f>
            </c:strRef>
          </c:cat>
          <c:val>
            <c:numRef>
              <c:f>'Week 1'!$BH$47:$BH$53</c:f>
              <c:numCache/>
            </c:numRef>
          </c:val>
        </c:ser>
        <c:axId val="515926920"/>
        <c:axId val="917099262"/>
      </c:barChart>
      <c:catAx>
        <c:axId val="515926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099262"/>
      </c:catAx>
      <c:valAx>
        <c:axId val="9170992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15926920"/>
      </c:valAx>
    </c:plotArea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💪 Push-ups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1'!$BI$46</c:f>
            </c:strRef>
          </c:tx>
          <c:cat>
            <c:strRef>
              <c:f>'Week 1'!$BD$47:$BD$53</c:f>
            </c:strRef>
          </c:cat>
          <c:val>
            <c:numRef>
              <c:f>'Week 1'!$BI$47:$BI$53</c:f>
              <c:numCache/>
            </c:numRef>
          </c:val>
        </c:ser>
        <c:axId val="2000390900"/>
        <c:axId val="2081600106"/>
      </c:barChart>
      <c:catAx>
        <c:axId val="2000390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600106"/>
      </c:catAx>
      <c:valAx>
        <c:axId val="208160010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00390900"/>
      </c:valAx>
    </c:plotArea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🧱 Plank (Seconds)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1'!$BJ$46</c:f>
            </c:strRef>
          </c:tx>
          <c:cat>
            <c:strRef>
              <c:f>'Week 1'!$BD$47:$BD$53</c:f>
            </c:strRef>
          </c:cat>
          <c:val>
            <c:numRef>
              <c:f>'Week 1'!$BJ$47:$BJ$53</c:f>
              <c:numCache/>
            </c:numRef>
          </c:val>
        </c:ser>
        <c:axId val="181773651"/>
        <c:axId val="1164617578"/>
      </c:barChart>
      <c:catAx>
        <c:axId val="181773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617578"/>
      </c:catAx>
      <c:valAx>
        <c:axId val="11646175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1773651"/>
      </c:valAx>
    </c:plotArea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🪢 Jump Rope (Minutes)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1'!$BK$46</c:f>
            </c:strRef>
          </c:tx>
          <c:cat>
            <c:strRef>
              <c:f>'Week 1'!$BD$47:$BD$53</c:f>
            </c:strRef>
          </c:cat>
          <c:val>
            <c:numRef>
              <c:f>'Week 1'!$BK$47:$BK$53</c:f>
              <c:numCache/>
            </c:numRef>
          </c:val>
        </c:ser>
        <c:axId val="1546452236"/>
        <c:axId val="1247795293"/>
      </c:barChart>
      <c:catAx>
        <c:axId val="1546452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795293"/>
      </c:catAx>
      <c:valAx>
        <c:axId val="124779529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46452236"/>
      </c:valAx>
    </c:plotArea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💻 Programming — codding + learn-prog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2'!$BE$4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2'!$BE$5:$BE$11</c:f>
              <c:numCache/>
            </c:numRef>
          </c:val>
        </c:ser>
        <c:ser>
          <c:idx val="1"/>
          <c:order val="1"/>
          <c:tx>
            <c:strRef>
              <c:f>'Week 2'!$BF$4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2'!$BF$5:$BF$11</c:f>
              <c:numCache/>
            </c:numRef>
          </c:val>
        </c:ser>
        <c:overlap val="100"/>
        <c:axId val="772664140"/>
        <c:axId val="1029486681"/>
      </c:barChart>
      <c:catAx>
        <c:axId val="772664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486681"/>
      </c:catAx>
      <c:valAx>
        <c:axId val="102948668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6641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📚 English — En-book + En-listening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2'!$BG$4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2'!$BG$5:$BG$11</c:f>
              <c:numCache/>
            </c:numRef>
          </c:val>
        </c:ser>
        <c:ser>
          <c:idx val="1"/>
          <c:order val="1"/>
          <c:tx>
            <c:strRef>
              <c:f>'Week 2'!$BH$4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2'!$BH$5:$BH$11</c:f>
              <c:numCache/>
            </c:numRef>
          </c:val>
        </c:ser>
        <c:overlap val="100"/>
        <c:axId val="1060739033"/>
        <c:axId val="480643660"/>
      </c:barChart>
      <c:catAx>
        <c:axId val="1060739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643660"/>
      </c:catAx>
      <c:valAx>
        <c:axId val="48064366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73903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Exercises — Run + Gym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2'!$BI$4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2'!$BI$5:$BI$11</c:f>
              <c:numCache/>
            </c:numRef>
          </c:val>
        </c:ser>
        <c:ser>
          <c:idx val="1"/>
          <c:order val="1"/>
          <c:tx>
            <c:strRef>
              <c:f>'Week 2'!$BJ$4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2'!$BJ$5:$BJ$11</c:f>
              <c:numCache/>
            </c:numRef>
          </c:val>
        </c:ser>
        <c:overlap val="100"/>
        <c:axId val="237429049"/>
        <c:axId val="1935188940"/>
      </c:barChart>
      <c:catAx>
        <c:axId val="237429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188940"/>
      </c:catAx>
      <c:valAx>
        <c:axId val="193518894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4290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🧘 Meditate — Meditation + Setar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2'!$BL$4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2'!$BL$5:$BL$11</c:f>
              <c:numCache/>
            </c:numRef>
          </c:val>
        </c:ser>
        <c:ser>
          <c:idx val="1"/>
          <c:order val="1"/>
          <c:tx>
            <c:strRef>
              <c:f>'Week 2'!$BM$4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2'!$BM$5:$BM$11</c:f>
              <c:numCache/>
            </c:numRef>
          </c:val>
        </c:ser>
        <c:overlap val="100"/>
        <c:axId val="590319873"/>
        <c:axId val="408615773"/>
      </c:barChart>
      <c:catAx>
        <c:axId val="590319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615773"/>
      </c:catAx>
      <c:valAx>
        <c:axId val="40861577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3198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🧑‍💻 Daily Work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2'!$BK$5:$BK$11</c:f>
              <c:numCache/>
            </c:numRef>
          </c:val>
        </c:ser>
        <c:axId val="1579729203"/>
        <c:axId val="1010896350"/>
      </c:barChart>
      <c:catAx>
        <c:axId val="1579729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896350"/>
      </c:catAx>
      <c:valAx>
        <c:axId val="101089635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729203"/>
      </c:valAx>
    </c:plotArea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😴 Daily Sleep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2'!$BP$5:$BP$11</c:f>
              <c:numCache/>
            </c:numRef>
          </c:val>
        </c:ser>
        <c:axId val="1722394396"/>
        <c:axId val="1607802458"/>
      </c:barChart>
      <c:catAx>
        <c:axId val="1722394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802458"/>
      </c:catAx>
      <c:valAx>
        <c:axId val="160780245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394396"/>
      </c:valAx>
    </c:plotArea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📋 Daily Personal Tasks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2'!$BN$4</c:f>
            </c:strRef>
          </c:tx>
          <c:spPr>
            <a:solidFill>
              <a:srgbClr val="CFCFCF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2'!$BN$5:$BN$11</c:f>
              <c:numCache/>
            </c:numRef>
          </c:val>
        </c:ser>
        <c:axId val="33763448"/>
        <c:axId val="223682861"/>
      </c:barChart>
      <c:catAx>
        <c:axId val="3376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682861"/>
      </c:catAx>
      <c:valAx>
        <c:axId val="22368286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63448"/>
      </c:valAx>
    </c:plotArea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⌛ Daily Wasted Time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2'!$BO$5:$BO$11</c:f>
              <c:numCache/>
            </c:numRef>
          </c:val>
        </c:ser>
        <c:axId val="528666696"/>
        <c:axId val="1766023917"/>
      </c:barChart>
      <c:catAx>
        <c:axId val="528666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023917"/>
      </c:catAx>
      <c:valAx>
        <c:axId val="176602391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666696"/>
      </c:valAx>
    </c:plotArea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🥧 Weekly Activity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57C31"/>
              </a:solidFill>
            </c:spPr>
          </c:dPt>
          <c:dPt>
            <c:idx val="1"/>
            <c:spPr>
              <a:solidFill>
                <a:srgbClr val="86EFA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93C5FD"/>
              </a:solidFill>
            </c:spPr>
          </c:dPt>
          <c:dPt>
            <c:idx val="4"/>
            <c:spPr>
              <a:solidFill>
                <a:srgbClr val="EA580C"/>
              </a:solidFill>
            </c:spPr>
          </c:dPt>
          <c:dPt>
            <c:idx val="5"/>
            <c:spPr>
              <a:solidFill>
                <a:srgbClr val="FDBA74"/>
              </a:solidFill>
            </c:spPr>
          </c:dPt>
          <c:dPt>
            <c:idx val="6"/>
            <c:spPr>
              <a:solidFill>
                <a:srgbClr val="89FD05"/>
              </a:solidFill>
            </c:spPr>
          </c:dPt>
          <c:dPt>
            <c:idx val="7"/>
            <c:spPr>
              <a:solidFill>
                <a:srgbClr val="8E029B"/>
              </a:solidFill>
            </c:spPr>
          </c:dPt>
          <c:dPt>
            <c:idx val="8"/>
            <c:spPr>
              <a:solidFill>
                <a:srgbClr val="DA87DE"/>
              </a:solidFill>
            </c:spPr>
          </c:dPt>
          <c:dPt>
            <c:idx val="9"/>
            <c:spPr>
              <a:solidFill>
                <a:srgbClr val="EEEEEE"/>
              </a:solidFill>
            </c:spPr>
          </c:dPt>
          <c:dPt>
            <c:idx val="10"/>
            <c:spPr>
              <a:solidFill>
                <a:srgbClr val="FF1500"/>
              </a:solidFill>
            </c:spPr>
          </c:dPt>
          <c:dPt>
            <c:idx val="11"/>
            <c:spPr>
              <a:solidFill>
                <a:srgbClr val="4E4D4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'Week 2'!$B$18:$B$29</c:f>
            </c:strRef>
          </c:cat>
          <c:val>
            <c:numRef>
              <c:f>'Week 2'!$F$18:$F$29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📈 Weekly Productivity Trend — how each day was spent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2'!$BE$4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2'!$BE$5:$BE$11</c:f>
              <c:numCache/>
            </c:numRef>
          </c:val>
        </c:ser>
        <c:ser>
          <c:idx val="1"/>
          <c:order val="1"/>
          <c:tx>
            <c:strRef>
              <c:f>'Week 2'!$BF$4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2'!$BF$5:$BF$11</c:f>
              <c:numCache/>
            </c:numRef>
          </c:val>
        </c:ser>
        <c:ser>
          <c:idx val="2"/>
          <c:order val="2"/>
          <c:tx>
            <c:strRef>
              <c:f>'Week 2'!$BG$4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2'!$BG$5:$BG$11</c:f>
              <c:numCache/>
            </c:numRef>
          </c:val>
        </c:ser>
        <c:ser>
          <c:idx val="3"/>
          <c:order val="3"/>
          <c:tx>
            <c:strRef>
              <c:f>'Week 2'!$BH$4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2'!$BH$5:$BH$11</c:f>
              <c:numCache/>
            </c:numRef>
          </c:val>
        </c:ser>
        <c:ser>
          <c:idx val="4"/>
          <c:order val="4"/>
          <c:tx>
            <c:strRef>
              <c:f>'Week 2'!$BI$4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2'!$BI$5:$BI$11</c:f>
              <c:numCache/>
            </c:numRef>
          </c:val>
        </c:ser>
        <c:ser>
          <c:idx val="5"/>
          <c:order val="5"/>
          <c:tx>
            <c:strRef>
              <c:f>'Week 2'!$BJ$4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2'!$BJ$5:$BJ$11</c:f>
              <c:numCache/>
            </c:numRef>
          </c:val>
        </c:ser>
        <c:ser>
          <c:idx val="6"/>
          <c:order val="6"/>
          <c:tx>
            <c:strRef>
              <c:f>'Week 2'!$BK$4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2'!$BK$5:$BK$11</c:f>
              <c:numCache/>
            </c:numRef>
          </c:val>
        </c:ser>
        <c:ser>
          <c:idx val="7"/>
          <c:order val="7"/>
          <c:tx>
            <c:strRef>
              <c:f>'Week 2'!$BL$4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2'!$BL$5:$BL$11</c:f>
              <c:numCache/>
            </c:numRef>
          </c:val>
        </c:ser>
        <c:ser>
          <c:idx val="8"/>
          <c:order val="8"/>
          <c:tx>
            <c:strRef>
              <c:f>'Week 2'!$BM$4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2'!$BM$5:$BM$11</c:f>
              <c:numCache/>
            </c:numRef>
          </c:val>
        </c:ser>
        <c:ser>
          <c:idx val="9"/>
          <c:order val="9"/>
          <c:tx>
            <c:strRef>
              <c:f>'Week 2'!$BN$4</c:f>
            </c:strRef>
          </c:tx>
          <c:spPr>
            <a:solidFill>
              <a:srgbClr val="EEEEEE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2'!$BN$5:$BN$11</c:f>
              <c:numCache/>
            </c:numRef>
          </c:val>
        </c:ser>
        <c:ser>
          <c:idx val="10"/>
          <c:order val="10"/>
          <c:tx>
            <c:strRef>
              <c:f>'Week 2'!$BO$4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2'!$BO$5:$BO$11</c:f>
              <c:numCache/>
            </c:numRef>
          </c:val>
        </c:ser>
        <c:ser>
          <c:idx val="11"/>
          <c:order val="11"/>
          <c:tx>
            <c:strRef>
              <c:f>'Week 2'!$BP$4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2'!$BD$5:$BD$11</c:f>
            </c:strRef>
          </c:cat>
          <c:val>
            <c:numRef>
              <c:f>'Week 2'!$BP$5:$BP$11</c:f>
              <c:numCache/>
            </c:numRef>
          </c:val>
        </c:ser>
        <c:overlap val="100"/>
        <c:axId val="1335009850"/>
        <c:axId val="1722478518"/>
      </c:barChart>
      <c:catAx>
        <c:axId val="1335009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478518"/>
      </c:catAx>
      <c:valAx>
        <c:axId val="172247851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0098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⚡ Daily Productive Hours — Programming + English + Exercises + Work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2'!$BE$19</c:f>
            </c:strRef>
          </c:tx>
          <c:spPr>
            <a:solidFill>
              <a:srgbClr val="0D9488"/>
            </a:solidFill>
            <a:ln cmpd="sng">
              <a:noFill/>
            </a:ln>
          </c:spPr>
          <c:cat>
            <c:strRef>
              <c:f>'Week 2'!$BD$20:$BD$26</c:f>
            </c:strRef>
          </c:cat>
          <c:val>
            <c:numRef>
              <c:f>'Week 2'!$BE$20:$BE$26</c:f>
              <c:numCache/>
            </c:numRef>
          </c:val>
        </c:ser>
        <c:axId val="817308734"/>
        <c:axId val="732092385"/>
      </c:barChart>
      <c:catAx>
        <c:axId val="817308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092385"/>
      </c:catAx>
      <c:valAx>
        <c:axId val="73209238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308734"/>
      </c:valAx>
    </c:plotArea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💧 Water Intake (Liters)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2'!$BE$46</c:f>
            </c:strRef>
          </c:tx>
          <c:cat>
            <c:strRef>
              <c:f>'Week 2'!$BD$47:$BD$53</c:f>
            </c:strRef>
          </c:cat>
          <c:val>
            <c:numRef>
              <c:f>'Week 2'!$BE$47:$BE$53</c:f>
              <c:numCache/>
            </c:numRef>
          </c:val>
        </c:ser>
        <c:axId val="1701935820"/>
        <c:axId val="275143694"/>
      </c:barChart>
      <c:catAx>
        <c:axId val="1701935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143694"/>
      </c:catAx>
      <c:valAx>
        <c:axId val="2751436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01935820"/>
      </c:valAx>
    </c:plotArea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🍬 Sugar Intake (Grams)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2'!$BF$46</c:f>
            </c:strRef>
          </c:tx>
          <c:cat>
            <c:strRef>
              <c:f>'Week 2'!$BD$47:$BD$53</c:f>
            </c:strRef>
          </c:cat>
          <c:val>
            <c:numRef>
              <c:f>'Week 2'!$BF$47:$BF$53</c:f>
              <c:numCache/>
            </c:numRef>
          </c:val>
        </c:ser>
        <c:axId val="1001709342"/>
        <c:axId val="622455746"/>
      </c:barChart>
      <c:catAx>
        <c:axId val="1001709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455746"/>
      </c:catAx>
      <c:valAx>
        <c:axId val="6224557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01709342"/>
      </c:valAx>
    </c:plotArea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🥑 Fat Intake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2'!$BG$46</c:f>
            </c:strRef>
          </c:tx>
          <c:cat>
            <c:strRef>
              <c:f>'Week 2'!$BD$47:$BD$53</c:f>
            </c:strRef>
          </c:cat>
          <c:val>
            <c:numRef>
              <c:f>'Week 2'!$BG$47:$BG$53</c:f>
              <c:numCache/>
            </c:numRef>
          </c:val>
        </c:ser>
        <c:axId val="1564373449"/>
        <c:axId val="1195709764"/>
      </c:barChart>
      <c:catAx>
        <c:axId val="1564373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709764"/>
      </c:catAx>
      <c:valAx>
        <c:axId val="119570976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64373449"/>
      </c:valAx>
    </c:plotArea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Sit-ups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2'!$BH$46</c:f>
            </c:strRef>
          </c:tx>
          <c:cat>
            <c:strRef>
              <c:f>'Week 2'!$BD$47:$BD$53</c:f>
            </c:strRef>
          </c:cat>
          <c:val>
            <c:numRef>
              <c:f>'Week 2'!$BH$47:$BH$53</c:f>
              <c:numCache/>
            </c:numRef>
          </c:val>
        </c:ser>
        <c:axId val="1449868186"/>
        <c:axId val="1919573824"/>
      </c:barChart>
      <c:catAx>
        <c:axId val="1449868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573824"/>
      </c:catAx>
      <c:valAx>
        <c:axId val="19195738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49868186"/>
      </c:valAx>
    </c:plotArea>
  </c:chart>
  <c:spPr>
    <a:solidFill>
      <a:srgbClr val="FFFFFF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💪 Push-ups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2'!$BI$46</c:f>
            </c:strRef>
          </c:tx>
          <c:cat>
            <c:strRef>
              <c:f>'Week 2'!$BD$47:$BD$53</c:f>
            </c:strRef>
          </c:cat>
          <c:val>
            <c:numRef>
              <c:f>'Week 2'!$BI$47:$BI$53</c:f>
              <c:numCache/>
            </c:numRef>
          </c:val>
        </c:ser>
        <c:axId val="1390854604"/>
        <c:axId val="186898567"/>
      </c:barChart>
      <c:catAx>
        <c:axId val="1390854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98567"/>
      </c:catAx>
      <c:valAx>
        <c:axId val="18689856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90854604"/>
      </c:valAx>
    </c:plotArea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🧱 Plank (Seconds)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2'!$BJ$46</c:f>
            </c:strRef>
          </c:tx>
          <c:cat>
            <c:strRef>
              <c:f>'Week 2'!$BD$47:$BD$53</c:f>
            </c:strRef>
          </c:cat>
          <c:val>
            <c:numRef>
              <c:f>'Week 2'!$BJ$47:$BJ$53</c:f>
              <c:numCache/>
            </c:numRef>
          </c:val>
        </c:ser>
        <c:axId val="950719266"/>
        <c:axId val="777138313"/>
      </c:barChart>
      <c:catAx>
        <c:axId val="950719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138313"/>
      </c:catAx>
      <c:valAx>
        <c:axId val="7771383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0719266"/>
      </c:valAx>
    </c:plotArea>
  </c:chart>
  <c:spPr>
    <a:solidFill>
      <a:srgbClr val="FFFFFF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🪢 Jump Rope (Minutes)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2'!$BK$46</c:f>
            </c:strRef>
          </c:tx>
          <c:cat>
            <c:strRef>
              <c:f>'Week 2'!$BD$47:$BD$53</c:f>
            </c:strRef>
          </c:cat>
          <c:val>
            <c:numRef>
              <c:f>'Week 2'!$BK$47:$BK$53</c:f>
              <c:numCache/>
            </c:numRef>
          </c:val>
        </c:ser>
        <c:axId val="354586226"/>
        <c:axId val="191411301"/>
      </c:barChart>
      <c:catAx>
        <c:axId val="354586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11301"/>
      </c:catAx>
      <c:valAx>
        <c:axId val="19141130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4586226"/>
      </c:valAx>
    </c:plotArea>
  </c:chart>
  <c:spPr>
    <a:solidFill>
      <a:srgbClr val="FFFFFF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💻 Programming — codding + learn-prog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3'!$BE$4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3'!$BE$5:$BE$11</c:f>
              <c:numCache/>
            </c:numRef>
          </c:val>
        </c:ser>
        <c:ser>
          <c:idx val="1"/>
          <c:order val="1"/>
          <c:tx>
            <c:strRef>
              <c:f>'Week 3'!$BF$4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3'!$BF$5:$BF$11</c:f>
              <c:numCache/>
            </c:numRef>
          </c:val>
        </c:ser>
        <c:overlap val="100"/>
        <c:axId val="627615860"/>
        <c:axId val="1022112215"/>
      </c:barChart>
      <c:catAx>
        <c:axId val="627615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112215"/>
      </c:catAx>
      <c:valAx>
        <c:axId val="102211221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6158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📚 English — En-book + En-listening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3'!$BG$4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3'!$BG$5:$BG$11</c:f>
              <c:numCache/>
            </c:numRef>
          </c:val>
        </c:ser>
        <c:ser>
          <c:idx val="1"/>
          <c:order val="1"/>
          <c:tx>
            <c:strRef>
              <c:f>'Week 3'!$BH$4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3'!$BH$5:$BH$11</c:f>
              <c:numCache/>
            </c:numRef>
          </c:val>
        </c:ser>
        <c:overlap val="100"/>
        <c:axId val="851936386"/>
        <c:axId val="954489639"/>
      </c:barChart>
      <c:catAx>
        <c:axId val="85193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489639"/>
      </c:catAx>
      <c:valAx>
        <c:axId val="95448963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9363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Exercises — Run + Gym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3'!$BI$4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3'!$BI$5:$BI$11</c:f>
              <c:numCache/>
            </c:numRef>
          </c:val>
        </c:ser>
        <c:ser>
          <c:idx val="1"/>
          <c:order val="1"/>
          <c:tx>
            <c:strRef>
              <c:f>'Week 3'!$BJ$4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3'!$BJ$5:$BJ$11</c:f>
              <c:numCache/>
            </c:numRef>
          </c:val>
        </c:ser>
        <c:overlap val="100"/>
        <c:axId val="1217278823"/>
        <c:axId val="465743893"/>
      </c:barChart>
      <c:catAx>
        <c:axId val="1217278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743893"/>
      </c:catAx>
      <c:valAx>
        <c:axId val="46574389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2788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🧘 Meditate — Meditation + Setar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3'!$BL$4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3'!$BL$5:$BL$11</c:f>
              <c:numCache/>
            </c:numRef>
          </c:val>
        </c:ser>
        <c:ser>
          <c:idx val="1"/>
          <c:order val="1"/>
          <c:tx>
            <c:strRef>
              <c:f>'Week 3'!$BM$4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3'!$BM$5:$BM$11</c:f>
              <c:numCache/>
            </c:numRef>
          </c:val>
        </c:ser>
        <c:overlap val="100"/>
        <c:axId val="2066158208"/>
        <c:axId val="575998769"/>
      </c:barChart>
      <c:catAx>
        <c:axId val="206615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998769"/>
      </c:catAx>
      <c:valAx>
        <c:axId val="57599876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15820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🧑‍💻 Daily Work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3'!$BK$5:$BK$11</c:f>
              <c:numCache/>
            </c:numRef>
          </c:val>
        </c:ser>
        <c:axId val="1931819121"/>
        <c:axId val="71993385"/>
      </c:barChart>
      <c:catAx>
        <c:axId val="1931819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93385"/>
      </c:catAx>
      <c:valAx>
        <c:axId val="7199338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819121"/>
      </c:valAx>
    </c:plotArea>
  </c:chart>
  <c:spPr>
    <a:solidFill>
      <a:srgbClr val="FFFFFF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😴 Daily Sleep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3'!$BP$5:$BP$11</c:f>
              <c:numCache/>
            </c:numRef>
          </c:val>
        </c:ser>
        <c:axId val="1823599316"/>
        <c:axId val="925922276"/>
      </c:barChart>
      <c:catAx>
        <c:axId val="1823599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922276"/>
      </c:catAx>
      <c:valAx>
        <c:axId val="92592227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99316"/>
      </c:valAx>
    </c:plotArea>
  </c:chart>
  <c:spPr>
    <a:solidFill>
      <a:srgbClr val="FFFFFF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📋 Daily Personal Tasks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3'!$BN$4</c:f>
            </c:strRef>
          </c:tx>
          <c:spPr>
            <a:solidFill>
              <a:srgbClr val="CFCFCF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3'!$BN$5:$BN$11</c:f>
              <c:numCache/>
            </c:numRef>
          </c:val>
        </c:ser>
        <c:axId val="1059344894"/>
        <c:axId val="1695569141"/>
      </c:barChart>
      <c:catAx>
        <c:axId val="1059344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569141"/>
      </c:catAx>
      <c:valAx>
        <c:axId val="169556914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344894"/>
      </c:valAx>
    </c:plotArea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⌛ Daily Wasted Time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3'!$BO$5:$BO$11</c:f>
              <c:numCache/>
            </c:numRef>
          </c:val>
        </c:ser>
        <c:axId val="245070006"/>
        <c:axId val="298141807"/>
      </c:barChart>
      <c:catAx>
        <c:axId val="245070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141807"/>
      </c:catAx>
      <c:valAx>
        <c:axId val="29814180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070006"/>
      </c:valAx>
    </c:plotArea>
  </c:chart>
  <c:spPr>
    <a:solidFill>
      <a:srgbClr val="FFFFFF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🥧 Weekly Activity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57C31"/>
              </a:solidFill>
            </c:spPr>
          </c:dPt>
          <c:dPt>
            <c:idx val="1"/>
            <c:spPr>
              <a:solidFill>
                <a:srgbClr val="86EFA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93C5FD"/>
              </a:solidFill>
            </c:spPr>
          </c:dPt>
          <c:dPt>
            <c:idx val="4"/>
            <c:spPr>
              <a:solidFill>
                <a:srgbClr val="EA580C"/>
              </a:solidFill>
            </c:spPr>
          </c:dPt>
          <c:dPt>
            <c:idx val="5"/>
            <c:spPr>
              <a:solidFill>
                <a:srgbClr val="FDBA74"/>
              </a:solidFill>
            </c:spPr>
          </c:dPt>
          <c:dPt>
            <c:idx val="6"/>
            <c:spPr>
              <a:solidFill>
                <a:srgbClr val="89FD05"/>
              </a:solidFill>
            </c:spPr>
          </c:dPt>
          <c:dPt>
            <c:idx val="7"/>
            <c:spPr>
              <a:solidFill>
                <a:srgbClr val="8E029B"/>
              </a:solidFill>
            </c:spPr>
          </c:dPt>
          <c:dPt>
            <c:idx val="8"/>
            <c:spPr>
              <a:solidFill>
                <a:srgbClr val="DA87DE"/>
              </a:solidFill>
            </c:spPr>
          </c:dPt>
          <c:dPt>
            <c:idx val="9"/>
            <c:spPr>
              <a:solidFill>
                <a:srgbClr val="EEEEEE"/>
              </a:solidFill>
            </c:spPr>
          </c:dPt>
          <c:dPt>
            <c:idx val="10"/>
            <c:spPr>
              <a:solidFill>
                <a:srgbClr val="FF1500"/>
              </a:solidFill>
            </c:spPr>
          </c:dPt>
          <c:dPt>
            <c:idx val="11"/>
            <c:spPr>
              <a:solidFill>
                <a:srgbClr val="4E4D4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'Week 3'!$B$18:$B$29</c:f>
            </c:strRef>
          </c:cat>
          <c:val>
            <c:numRef>
              <c:f>'Week 3'!$F$18:$F$29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📈 Weekly Productivity Trend — how each day was spent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3'!$BE$4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3'!$BE$5:$BE$11</c:f>
              <c:numCache/>
            </c:numRef>
          </c:val>
        </c:ser>
        <c:ser>
          <c:idx val="1"/>
          <c:order val="1"/>
          <c:tx>
            <c:strRef>
              <c:f>'Week 3'!$BF$4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3'!$BF$5:$BF$11</c:f>
              <c:numCache/>
            </c:numRef>
          </c:val>
        </c:ser>
        <c:ser>
          <c:idx val="2"/>
          <c:order val="2"/>
          <c:tx>
            <c:strRef>
              <c:f>'Week 3'!$BG$4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3'!$BG$5:$BG$11</c:f>
              <c:numCache/>
            </c:numRef>
          </c:val>
        </c:ser>
        <c:ser>
          <c:idx val="3"/>
          <c:order val="3"/>
          <c:tx>
            <c:strRef>
              <c:f>'Week 3'!$BH$4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3'!$BH$5:$BH$11</c:f>
              <c:numCache/>
            </c:numRef>
          </c:val>
        </c:ser>
        <c:ser>
          <c:idx val="4"/>
          <c:order val="4"/>
          <c:tx>
            <c:strRef>
              <c:f>'Week 3'!$BI$4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3'!$BI$5:$BI$11</c:f>
              <c:numCache/>
            </c:numRef>
          </c:val>
        </c:ser>
        <c:ser>
          <c:idx val="5"/>
          <c:order val="5"/>
          <c:tx>
            <c:strRef>
              <c:f>'Week 3'!$BJ$4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3'!$BJ$5:$BJ$11</c:f>
              <c:numCache/>
            </c:numRef>
          </c:val>
        </c:ser>
        <c:ser>
          <c:idx val="6"/>
          <c:order val="6"/>
          <c:tx>
            <c:strRef>
              <c:f>'Week 3'!$BK$4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3'!$BK$5:$BK$11</c:f>
              <c:numCache/>
            </c:numRef>
          </c:val>
        </c:ser>
        <c:ser>
          <c:idx val="7"/>
          <c:order val="7"/>
          <c:tx>
            <c:strRef>
              <c:f>'Week 3'!$BL$4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3'!$BL$5:$BL$11</c:f>
              <c:numCache/>
            </c:numRef>
          </c:val>
        </c:ser>
        <c:ser>
          <c:idx val="8"/>
          <c:order val="8"/>
          <c:tx>
            <c:strRef>
              <c:f>'Week 3'!$BM$4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3'!$BM$5:$BM$11</c:f>
              <c:numCache/>
            </c:numRef>
          </c:val>
        </c:ser>
        <c:ser>
          <c:idx val="9"/>
          <c:order val="9"/>
          <c:tx>
            <c:strRef>
              <c:f>'Week 3'!$BN$4</c:f>
            </c:strRef>
          </c:tx>
          <c:spPr>
            <a:solidFill>
              <a:srgbClr val="EEEEEE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3'!$BN$5:$BN$11</c:f>
              <c:numCache/>
            </c:numRef>
          </c:val>
        </c:ser>
        <c:ser>
          <c:idx val="10"/>
          <c:order val="10"/>
          <c:tx>
            <c:strRef>
              <c:f>'Week 3'!$BO$4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3'!$BO$5:$BO$11</c:f>
              <c:numCache/>
            </c:numRef>
          </c:val>
        </c:ser>
        <c:ser>
          <c:idx val="11"/>
          <c:order val="11"/>
          <c:tx>
            <c:strRef>
              <c:f>'Week 3'!$BP$4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3'!$BD$5:$BD$11</c:f>
            </c:strRef>
          </c:cat>
          <c:val>
            <c:numRef>
              <c:f>'Week 3'!$BP$5:$BP$11</c:f>
              <c:numCache/>
            </c:numRef>
          </c:val>
        </c:ser>
        <c:overlap val="100"/>
        <c:axId val="877357490"/>
        <c:axId val="1622045009"/>
      </c:barChart>
      <c:catAx>
        <c:axId val="877357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045009"/>
      </c:catAx>
      <c:valAx>
        <c:axId val="16220450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3574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⚡ Daily Productive Hours — Programming + English + Exercises + Work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3'!$BE$19</c:f>
            </c:strRef>
          </c:tx>
          <c:spPr>
            <a:solidFill>
              <a:srgbClr val="0D9488"/>
            </a:solidFill>
            <a:ln cmpd="sng">
              <a:noFill/>
            </a:ln>
          </c:spPr>
          <c:cat>
            <c:strRef>
              <c:f>'Week 3'!$BD$20:$BD$26</c:f>
            </c:strRef>
          </c:cat>
          <c:val>
            <c:numRef>
              <c:f>'Week 3'!$BE$20:$BE$26</c:f>
              <c:numCache/>
            </c:numRef>
          </c:val>
        </c:ser>
        <c:axId val="910343188"/>
        <c:axId val="1658980957"/>
      </c:barChart>
      <c:catAx>
        <c:axId val="910343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980957"/>
      </c:catAx>
      <c:valAx>
        <c:axId val="165898095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343188"/>
      </c:valAx>
    </c:plotArea>
  </c:chart>
  <c:spPr>
    <a:solidFill>
      <a:srgbClr val="FFFFFF"/>
    </a:solidFill>
  </c:spPr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💧 Water Intake (Liters)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3'!$BE$46</c:f>
            </c:strRef>
          </c:tx>
          <c:cat>
            <c:strRef>
              <c:f>'Week 3'!$BD$47:$BD$53</c:f>
            </c:strRef>
          </c:cat>
          <c:val>
            <c:numRef>
              <c:f>'Week 3'!$BE$47:$BE$53</c:f>
              <c:numCache/>
            </c:numRef>
          </c:val>
        </c:ser>
        <c:axId val="1458451642"/>
        <c:axId val="1892985313"/>
      </c:barChart>
      <c:catAx>
        <c:axId val="1458451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985313"/>
      </c:catAx>
      <c:valAx>
        <c:axId val="18929853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8451642"/>
      </c:valAx>
    </c:plotArea>
  </c:chart>
  <c:spPr>
    <a:solidFill>
      <a:srgbClr val="FFFFFF"/>
    </a:solidFill>
  </c:spPr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🍬 Sugar Intake (Grams)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3'!$BF$46</c:f>
            </c:strRef>
          </c:tx>
          <c:cat>
            <c:strRef>
              <c:f>'Week 3'!$BD$47:$BD$53</c:f>
            </c:strRef>
          </c:cat>
          <c:val>
            <c:numRef>
              <c:f>'Week 3'!$BF$47:$BF$53</c:f>
              <c:numCache/>
            </c:numRef>
          </c:val>
        </c:ser>
        <c:axId val="2133306117"/>
        <c:axId val="256377015"/>
      </c:barChart>
      <c:catAx>
        <c:axId val="213330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377015"/>
      </c:catAx>
      <c:valAx>
        <c:axId val="2563770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33306117"/>
      </c:valAx>
    </c:plotArea>
  </c:chart>
  <c:spPr>
    <a:solidFill>
      <a:srgbClr val="FFFFFF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🥑 Fat Intake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3'!$BG$46</c:f>
            </c:strRef>
          </c:tx>
          <c:cat>
            <c:strRef>
              <c:f>'Week 3'!$BD$47:$BD$53</c:f>
            </c:strRef>
          </c:cat>
          <c:val>
            <c:numRef>
              <c:f>'Week 3'!$BG$47:$BG$53</c:f>
              <c:numCache/>
            </c:numRef>
          </c:val>
        </c:ser>
        <c:axId val="1657233979"/>
        <c:axId val="1365397251"/>
      </c:barChart>
      <c:catAx>
        <c:axId val="1657233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397251"/>
      </c:catAx>
      <c:valAx>
        <c:axId val="13653972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57233979"/>
      </c:valAx>
    </c:plotArea>
  </c:chart>
  <c:spPr>
    <a:solidFill>
      <a:srgbClr val="FFFFFF"/>
    </a:solidFill>
  </c:spPr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Sit-ups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3'!$BH$46</c:f>
            </c:strRef>
          </c:tx>
          <c:cat>
            <c:strRef>
              <c:f>'Week 3'!$BD$47:$BD$53</c:f>
            </c:strRef>
          </c:cat>
          <c:val>
            <c:numRef>
              <c:f>'Week 3'!$BH$47:$BH$53</c:f>
              <c:numCache/>
            </c:numRef>
          </c:val>
        </c:ser>
        <c:axId val="646713831"/>
        <c:axId val="881396577"/>
      </c:barChart>
      <c:catAx>
        <c:axId val="646713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396577"/>
      </c:catAx>
      <c:valAx>
        <c:axId val="8813965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46713831"/>
      </c:valAx>
    </c:plotArea>
  </c:chart>
  <c:spPr>
    <a:solidFill>
      <a:srgbClr val="FFFFFF"/>
    </a:solidFill>
  </c:spPr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💪 Push-ups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3'!$BI$46</c:f>
            </c:strRef>
          </c:tx>
          <c:cat>
            <c:strRef>
              <c:f>'Week 3'!$BD$47:$BD$53</c:f>
            </c:strRef>
          </c:cat>
          <c:val>
            <c:numRef>
              <c:f>'Week 3'!$BI$47:$BI$53</c:f>
              <c:numCache/>
            </c:numRef>
          </c:val>
        </c:ser>
        <c:axId val="1724852315"/>
        <c:axId val="1624779901"/>
      </c:barChart>
      <c:catAx>
        <c:axId val="1724852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779901"/>
      </c:catAx>
      <c:valAx>
        <c:axId val="162477990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4852315"/>
      </c:valAx>
    </c:plotArea>
  </c:chart>
  <c:spPr>
    <a:solidFill>
      <a:srgbClr val="FFFFFF"/>
    </a:solidFill>
  </c:spPr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🧱 Plank (Seconds)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3'!$BJ$46</c:f>
            </c:strRef>
          </c:tx>
          <c:cat>
            <c:strRef>
              <c:f>'Week 3'!$BD$47:$BD$53</c:f>
            </c:strRef>
          </c:cat>
          <c:val>
            <c:numRef>
              <c:f>'Week 3'!$BJ$47:$BJ$53</c:f>
              <c:numCache/>
            </c:numRef>
          </c:val>
        </c:ser>
        <c:axId val="371632243"/>
        <c:axId val="937510869"/>
      </c:barChart>
      <c:catAx>
        <c:axId val="371632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510869"/>
      </c:catAx>
      <c:valAx>
        <c:axId val="9375108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71632243"/>
      </c:valAx>
    </c:plotArea>
  </c:chart>
  <c:spPr>
    <a:solidFill>
      <a:srgbClr val="FFFFFF"/>
    </a:solidFill>
  </c:spPr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🪢 Jump Rope (Minutes)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3'!$BK$46</c:f>
            </c:strRef>
          </c:tx>
          <c:cat>
            <c:strRef>
              <c:f>'Week 3'!$BD$47:$BD$53</c:f>
            </c:strRef>
          </c:cat>
          <c:val>
            <c:numRef>
              <c:f>'Week 3'!$BK$47:$BK$53</c:f>
              <c:numCache/>
            </c:numRef>
          </c:val>
        </c:ser>
        <c:axId val="113998366"/>
        <c:axId val="2000437870"/>
      </c:barChart>
      <c:catAx>
        <c:axId val="113998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437870"/>
      </c:catAx>
      <c:valAx>
        <c:axId val="20004378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998366"/>
      </c:valAx>
    </c:plotArea>
  </c:chart>
  <c:spPr>
    <a:solidFill>
      <a:srgbClr val="FFFFFF"/>
    </a:solidFill>
  </c:spPr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💻 Programming — codding + learn-prog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4'!$BE$4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4'!$BE$5:$BE$11</c:f>
              <c:numCache/>
            </c:numRef>
          </c:val>
        </c:ser>
        <c:ser>
          <c:idx val="1"/>
          <c:order val="1"/>
          <c:tx>
            <c:strRef>
              <c:f>'Week 4'!$BF$4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4'!$BF$5:$BF$11</c:f>
              <c:numCache/>
            </c:numRef>
          </c:val>
        </c:ser>
        <c:overlap val="100"/>
        <c:axId val="220608416"/>
        <c:axId val="1889687719"/>
      </c:barChart>
      <c:catAx>
        <c:axId val="22060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687719"/>
      </c:catAx>
      <c:valAx>
        <c:axId val="188968771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6084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📚 English — En-book + En-listening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4'!$BG$4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4'!$BG$5:$BG$11</c:f>
              <c:numCache/>
            </c:numRef>
          </c:val>
        </c:ser>
        <c:ser>
          <c:idx val="1"/>
          <c:order val="1"/>
          <c:tx>
            <c:strRef>
              <c:f>'Week 4'!$BH$4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4'!$BH$5:$BH$11</c:f>
              <c:numCache/>
            </c:numRef>
          </c:val>
        </c:ser>
        <c:overlap val="100"/>
        <c:axId val="1146323594"/>
        <c:axId val="279817145"/>
      </c:barChart>
      <c:catAx>
        <c:axId val="114632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817145"/>
      </c:catAx>
      <c:valAx>
        <c:axId val="27981714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3235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Exercises — Run + Gym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4'!$BI$4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4'!$BI$5:$BI$11</c:f>
              <c:numCache/>
            </c:numRef>
          </c:val>
        </c:ser>
        <c:ser>
          <c:idx val="1"/>
          <c:order val="1"/>
          <c:tx>
            <c:strRef>
              <c:f>'Week 4'!$BJ$4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4'!$BJ$5:$BJ$11</c:f>
              <c:numCache/>
            </c:numRef>
          </c:val>
        </c:ser>
        <c:overlap val="100"/>
        <c:axId val="712092611"/>
        <c:axId val="1608074404"/>
      </c:barChart>
      <c:catAx>
        <c:axId val="712092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074404"/>
      </c:catAx>
      <c:valAx>
        <c:axId val="160807440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0926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🧘 Meditate — Meditation + Setar (daily)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4'!$BL$4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4'!$BL$5:$BL$11</c:f>
              <c:numCache/>
            </c:numRef>
          </c:val>
        </c:ser>
        <c:ser>
          <c:idx val="1"/>
          <c:order val="1"/>
          <c:tx>
            <c:strRef>
              <c:f>'Week 4'!$BM$4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4'!$BM$5:$BM$11</c:f>
              <c:numCache/>
            </c:numRef>
          </c:val>
        </c:ser>
        <c:overlap val="100"/>
        <c:axId val="396973055"/>
        <c:axId val="263897798"/>
      </c:barChart>
      <c:catAx>
        <c:axId val="396973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897798"/>
      </c:catAx>
      <c:valAx>
        <c:axId val="26389779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9730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🧑‍💻 Daily Work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4'!$BK$5:$BK$11</c:f>
              <c:numCache/>
            </c:numRef>
          </c:val>
        </c:ser>
        <c:axId val="1541412701"/>
        <c:axId val="336133114"/>
      </c:barChart>
      <c:catAx>
        <c:axId val="154141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133114"/>
      </c:catAx>
      <c:valAx>
        <c:axId val="33613311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412701"/>
      </c:valAx>
    </c:plotArea>
  </c:chart>
  <c:spPr>
    <a:solidFill>
      <a:srgbClr val="FFFFFF"/>
    </a:solidFill>
  </c:spPr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😴 Daily Sleep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4'!$BP$5:$BP$11</c:f>
              <c:numCache/>
            </c:numRef>
          </c:val>
        </c:ser>
        <c:axId val="679777039"/>
        <c:axId val="497727105"/>
      </c:barChart>
      <c:catAx>
        <c:axId val="679777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727105"/>
      </c:catAx>
      <c:valAx>
        <c:axId val="4977271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777039"/>
      </c:valAx>
    </c:plotArea>
  </c:chart>
  <c:spPr>
    <a:solidFill>
      <a:srgbClr val="FFFFFF"/>
    </a:solidFill>
  </c:spPr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📋 Daily Personal Tasks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4'!$BN$4</c:f>
            </c:strRef>
          </c:tx>
          <c:spPr>
            <a:solidFill>
              <a:srgbClr val="CFCFCF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4'!$BN$5:$BN$11</c:f>
              <c:numCache/>
            </c:numRef>
          </c:val>
        </c:ser>
        <c:axId val="2110695136"/>
        <c:axId val="430219821"/>
      </c:barChart>
      <c:catAx>
        <c:axId val="211069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219821"/>
      </c:catAx>
      <c:valAx>
        <c:axId val="4302198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695136"/>
      </c:valAx>
    </c:plotArea>
  </c:chart>
  <c:spPr>
    <a:solidFill>
      <a:srgbClr val="FFFFFF"/>
    </a:solidFill>
  </c:spPr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⌛ Daily Wasted Time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4'!$BO$5:$BO$11</c:f>
              <c:numCache/>
            </c:numRef>
          </c:val>
        </c:ser>
        <c:axId val="766061842"/>
        <c:axId val="1971588116"/>
      </c:barChart>
      <c:catAx>
        <c:axId val="766061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588116"/>
      </c:catAx>
      <c:valAx>
        <c:axId val="197158811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061842"/>
      </c:valAx>
    </c:plotArea>
  </c:chart>
  <c:spPr>
    <a:solidFill>
      <a:srgbClr val="FFFFFF"/>
    </a:solidFill>
  </c:spPr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🥧 Weekly Activity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57C31"/>
              </a:solidFill>
            </c:spPr>
          </c:dPt>
          <c:dPt>
            <c:idx val="1"/>
            <c:spPr>
              <a:solidFill>
                <a:srgbClr val="86EFA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93C5FD"/>
              </a:solidFill>
            </c:spPr>
          </c:dPt>
          <c:dPt>
            <c:idx val="4"/>
            <c:spPr>
              <a:solidFill>
                <a:srgbClr val="EA580C"/>
              </a:solidFill>
            </c:spPr>
          </c:dPt>
          <c:dPt>
            <c:idx val="5"/>
            <c:spPr>
              <a:solidFill>
                <a:srgbClr val="FDBA74"/>
              </a:solidFill>
            </c:spPr>
          </c:dPt>
          <c:dPt>
            <c:idx val="6"/>
            <c:spPr>
              <a:solidFill>
                <a:srgbClr val="89FD05"/>
              </a:solidFill>
            </c:spPr>
          </c:dPt>
          <c:dPt>
            <c:idx val="7"/>
            <c:spPr>
              <a:solidFill>
                <a:srgbClr val="8E029B"/>
              </a:solidFill>
            </c:spPr>
          </c:dPt>
          <c:dPt>
            <c:idx val="8"/>
            <c:spPr>
              <a:solidFill>
                <a:srgbClr val="DA87DE"/>
              </a:solidFill>
            </c:spPr>
          </c:dPt>
          <c:dPt>
            <c:idx val="9"/>
            <c:spPr>
              <a:solidFill>
                <a:srgbClr val="EEEEEE"/>
              </a:solidFill>
            </c:spPr>
          </c:dPt>
          <c:dPt>
            <c:idx val="10"/>
            <c:spPr>
              <a:solidFill>
                <a:srgbClr val="FF1500"/>
              </a:solidFill>
            </c:spPr>
          </c:dPt>
          <c:dPt>
            <c:idx val="11"/>
            <c:spPr>
              <a:solidFill>
                <a:srgbClr val="4E4D4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'Week 4'!$B$18:$B$29</c:f>
            </c:strRef>
          </c:cat>
          <c:val>
            <c:numRef>
              <c:f>'Week 4'!$F$18:$F$29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📈 Weekly Productivity Trend — how each day was spent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'Week 4'!$BE$4</c:f>
            </c:strRef>
          </c:tx>
          <c:spPr>
            <a:solidFill>
              <a:srgbClr val="057C31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4'!$BE$5:$BE$11</c:f>
              <c:numCache/>
            </c:numRef>
          </c:val>
        </c:ser>
        <c:ser>
          <c:idx val="1"/>
          <c:order val="1"/>
          <c:tx>
            <c:strRef>
              <c:f>'Week 4'!$BF$4</c:f>
            </c:strRef>
          </c:tx>
          <c:spPr>
            <a:solidFill>
              <a:srgbClr val="86EFAC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4'!$BF$5:$BF$11</c:f>
              <c:numCache/>
            </c:numRef>
          </c:val>
        </c:ser>
        <c:ser>
          <c:idx val="2"/>
          <c:order val="2"/>
          <c:tx>
            <c:strRef>
              <c:f>'Week 4'!$BG$4</c:f>
            </c:strRef>
          </c:tx>
          <c:spPr>
            <a:solidFill>
              <a:srgbClr val="2563EB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4'!$BG$5:$BG$11</c:f>
              <c:numCache/>
            </c:numRef>
          </c:val>
        </c:ser>
        <c:ser>
          <c:idx val="3"/>
          <c:order val="3"/>
          <c:tx>
            <c:strRef>
              <c:f>'Week 4'!$BH$4</c:f>
            </c:strRef>
          </c:tx>
          <c:spPr>
            <a:solidFill>
              <a:srgbClr val="93C5FD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4'!$BH$5:$BH$11</c:f>
              <c:numCache/>
            </c:numRef>
          </c:val>
        </c:ser>
        <c:ser>
          <c:idx val="4"/>
          <c:order val="4"/>
          <c:tx>
            <c:strRef>
              <c:f>'Week 4'!$BI$4</c:f>
            </c:strRef>
          </c:tx>
          <c:spPr>
            <a:solidFill>
              <a:srgbClr val="EA580C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4'!$BI$5:$BI$11</c:f>
              <c:numCache/>
            </c:numRef>
          </c:val>
        </c:ser>
        <c:ser>
          <c:idx val="5"/>
          <c:order val="5"/>
          <c:tx>
            <c:strRef>
              <c:f>'Week 4'!$BJ$4</c:f>
            </c:strRef>
          </c:tx>
          <c:spPr>
            <a:solidFill>
              <a:srgbClr val="FDBA74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4'!$BJ$5:$BJ$11</c:f>
              <c:numCache/>
            </c:numRef>
          </c:val>
        </c:ser>
        <c:ser>
          <c:idx val="6"/>
          <c:order val="6"/>
          <c:tx>
            <c:strRef>
              <c:f>'Week 4'!$BK$4</c:f>
            </c:strRef>
          </c:tx>
          <c:spPr>
            <a:solidFill>
              <a:srgbClr val="89FD05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4'!$BK$5:$BK$11</c:f>
              <c:numCache/>
            </c:numRef>
          </c:val>
        </c:ser>
        <c:ser>
          <c:idx val="7"/>
          <c:order val="7"/>
          <c:tx>
            <c:strRef>
              <c:f>'Week 4'!$BL$4</c:f>
            </c:strRef>
          </c:tx>
          <c:spPr>
            <a:solidFill>
              <a:srgbClr val="8E029B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4'!$BL$5:$BL$11</c:f>
              <c:numCache/>
            </c:numRef>
          </c:val>
        </c:ser>
        <c:ser>
          <c:idx val="8"/>
          <c:order val="8"/>
          <c:tx>
            <c:strRef>
              <c:f>'Week 4'!$BM$4</c:f>
            </c:strRef>
          </c:tx>
          <c:spPr>
            <a:solidFill>
              <a:srgbClr val="DA87DE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4'!$BM$5:$BM$11</c:f>
              <c:numCache/>
            </c:numRef>
          </c:val>
        </c:ser>
        <c:ser>
          <c:idx val="9"/>
          <c:order val="9"/>
          <c:tx>
            <c:strRef>
              <c:f>'Week 4'!$BN$4</c:f>
            </c:strRef>
          </c:tx>
          <c:spPr>
            <a:solidFill>
              <a:srgbClr val="EEEEEE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4'!$BN$5:$BN$11</c:f>
              <c:numCache/>
            </c:numRef>
          </c:val>
        </c:ser>
        <c:ser>
          <c:idx val="10"/>
          <c:order val="10"/>
          <c:tx>
            <c:strRef>
              <c:f>'Week 4'!$BO$4</c:f>
            </c:strRef>
          </c:tx>
          <c:spPr>
            <a:solidFill>
              <a:srgbClr val="FF1500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4'!$BO$5:$BO$11</c:f>
              <c:numCache/>
            </c:numRef>
          </c:val>
        </c:ser>
        <c:ser>
          <c:idx val="11"/>
          <c:order val="11"/>
          <c:tx>
            <c:strRef>
              <c:f>'Week 4'!$BP$4</c:f>
            </c:strRef>
          </c:tx>
          <c:spPr>
            <a:solidFill>
              <a:srgbClr val="4E4D44"/>
            </a:solidFill>
            <a:ln cmpd="sng">
              <a:noFill/>
            </a:ln>
          </c:spPr>
          <c:cat>
            <c:strRef>
              <c:f>'Week 4'!$BD$5:$BD$11</c:f>
            </c:strRef>
          </c:cat>
          <c:val>
            <c:numRef>
              <c:f>'Week 4'!$BP$5:$BP$11</c:f>
              <c:numCache/>
            </c:numRef>
          </c:val>
        </c:ser>
        <c:overlap val="100"/>
        <c:axId val="569034989"/>
        <c:axId val="424073866"/>
      </c:barChart>
      <c:catAx>
        <c:axId val="569034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073866"/>
      </c:catAx>
      <c:valAx>
        <c:axId val="42407386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0349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⚡ Daily Productive Hours — Programming + English + Exercises + Work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4'!$BE$19</c:f>
            </c:strRef>
          </c:tx>
          <c:spPr>
            <a:solidFill>
              <a:srgbClr val="0D9488"/>
            </a:solidFill>
            <a:ln cmpd="sng">
              <a:noFill/>
            </a:ln>
          </c:spPr>
          <c:cat>
            <c:strRef>
              <c:f>'Week 4'!$BD$20:$BD$26</c:f>
            </c:strRef>
          </c:cat>
          <c:val>
            <c:numRef>
              <c:f>'Week 4'!$BE$20:$BE$26</c:f>
              <c:numCache/>
            </c:numRef>
          </c:val>
        </c:ser>
        <c:axId val="1659839688"/>
        <c:axId val="629881512"/>
      </c:barChart>
      <c:catAx>
        <c:axId val="1659839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881512"/>
      </c:catAx>
      <c:valAx>
        <c:axId val="6298815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39688"/>
      </c:valAx>
    </c:plotArea>
  </c:chart>
  <c:spPr>
    <a:solidFill>
      <a:srgbClr val="FFFFFF"/>
    </a:solidFill>
  </c:spPr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💧 Water Intake (Liters)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4'!$BE$46</c:f>
            </c:strRef>
          </c:tx>
          <c:cat>
            <c:strRef>
              <c:f>'Week 4'!$BD$47:$BD$53</c:f>
            </c:strRef>
          </c:cat>
          <c:val>
            <c:numRef>
              <c:f>'Week 4'!$BE$47:$BE$53</c:f>
              <c:numCache/>
            </c:numRef>
          </c:val>
        </c:ser>
        <c:axId val="1056308307"/>
        <c:axId val="843650134"/>
      </c:barChart>
      <c:catAx>
        <c:axId val="1056308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650134"/>
      </c:catAx>
      <c:valAx>
        <c:axId val="8436501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56308307"/>
      </c:valAx>
    </c:plotArea>
  </c:chart>
  <c:spPr>
    <a:solidFill>
      <a:srgbClr val="FFFFFF"/>
    </a:solidFill>
  </c:spPr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🍬 Sugar Intake (Grams)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4'!$BF$46</c:f>
            </c:strRef>
          </c:tx>
          <c:cat>
            <c:strRef>
              <c:f>'Week 4'!$BD$47:$BD$53</c:f>
            </c:strRef>
          </c:cat>
          <c:val>
            <c:numRef>
              <c:f>'Week 4'!$BF$47:$BF$53</c:f>
              <c:numCache/>
            </c:numRef>
          </c:val>
        </c:ser>
        <c:axId val="1498858388"/>
        <c:axId val="793968544"/>
      </c:barChart>
      <c:catAx>
        <c:axId val="1498858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968544"/>
      </c:catAx>
      <c:valAx>
        <c:axId val="7939685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98858388"/>
      </c:valAx>
    </c:plotArea>
  </c:chart>
  <c:spPr>
    <a:solidFill>
      <a:srgbClr val="FFFFFF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🥑 Fat Intake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4'!$BG$46</c:f>
            </c:strRef>
          </c:tx>
          <c:cat>
            <c:strRef>
              <c:f>'Week 4'!$BD$47:$BD$53</c:f>
            </c:strRef>
          </c:cat>
          <c:val>
            <c:numRef>
              <c:f>'Week 4'!$BG$47:$BG$53</c:f>
              <c:numCache/>
            </c:numRef>
          </c:val>
        </c:ser>
        <c:axId val="1453100295"/>
        <c:axId val="1476654438"/>
      </c:barChart>
      <c:catAx>
        <c:axId val="1453100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654438"/>
      </c:catAx>
      <c:valAx>
        <c:axId val="14766544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3100295"/>
      </c:valAx>
    </c:plotArea>
  </c:chart>
  <c:spPr>
    <a:solidFill>
      <a:srgbClr val="FFFFFF"/>
    </a:solidFill>
  </c:spPr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Sit-ups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4'!$BH$46</c:f>
            </c:strRef>
          </c:tx>
          <c:cat>
            <c:strRef>
              <c:f>'Week 4'!$BD$47:$BD$53</c:f>
            </c:strRef>
          </c:cat>
          <c:val>
            <c:numRef>
              <c:f>'Week 4'!$BH$47:$BH$53</c:f>
              <c:numCache/>
            </c:numRef>
          </c:val>
        </c:ser>
        <c:axId val="22898316"/>
        <c:axId val="1961583072"/>
      </c:barChart>
      <c:catAx>
        <c:axId val="22898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583072"/>
      </c:catAx>
      <c:valAx>
        <c:axId val="19615830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2898316"/>
      </c:valAx>
    </c:plotArea>
  </c:chart>
  <c:spPr>
    <a:solidFill>
      <a:srgbClr val="FFFFFF"/>
    </a:solidFill>
  </c:spPr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💪 Push-ups (Reps)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4'!$BI$46</c:f>
            </c:strRef>
          </c:tx>
          <c:cat>
            <c:strRef>
              <c:f>'Week 4'!$BD$47:$BD$53</c:f>
            </c:strRef>
          </c:cat>
          <c:val>
            <c:numRef>
              <c:f>'Week 4'!$BI$47:$BI$53</c:f>
              <c:numCache/>
            </c:numRef>
          </c:val>
        </c:ser>
        <c:axId val="1091127952"/>
        <c:axId val="970615737"/>
      </c:barChart>
      <c:catAx>
        <c:axId val="109112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615737"/>
      </c:catAx>
      <c:valAx>
        <c:axId val="97061573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91127952"/>
      </c:valAx>
    </c:plotArea>
  </c:chart>
  <c:spPr>
    <a:solidFill>
      <a:srgbClr val="FFFFFF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🧱 Plank (Seconds)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4'!$BJ$46</c:f>
            </c:strRef>
          </c:tx>
          <c:cat>
            <c:strRef>
              <c:f>'Week 4'!$BD$47:$BD$53</c:f>
            </c:strRef>
          </c:cat>
          <c:val>
            <c:numRef>
              <c:f>'Week 4'!$BJ$47:$BJ$53</c:f>
              <c:numCache/>
            </c:numRef>
          </c:val>
        </c:ser>
        <c:axId val="1175053864"/>
        <c:axId val="877145158"/>
      </c:barChart>
      <c:catAx>
        <c:axId val="117505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145158"/>
      </c:catAx>
      <c:valAx>
        <c:axId val="8771451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5053864"/>
      </c:valAx>
    </c:plotArea>
  </c:chart>
  <c:spPr>
    <a:solidFill>
      <a:srgbClr val="FFFFFF"/>
    </a:solidFill>
  </c:spPr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🪢 Jump Rope (Minutes)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 4'!$BK$46</c:f>
            </c:strRef>
          </c:tx>
          <c:cat>
            <c:strRef>
              <c:f>'Week 4'!$BD$47:$BD$53</c:f>
            </c:strRef>
          </c:cat>
          <c:val>
            <c:numRef>
              <c:f>'Week 4'!$BK$47:$BK$53</c:f>
              <c:numCache/>
            </c:numRef>
          </c:val>
        </c:ser>
        <c:axId val="283730057"/>
        <c:axId val="647318308"/>
      </c:barChart>
      <c:catAx>
        <c:axId val="283730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318308"/>
      </c:catAx>
      <c:valAx>
        <c:axId val="64731830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83730057"/>
      </c:valAx>
    </c:plotArea>
  </c:chart>
  <c:spPr>
    <a:solidFill>
      <a:srgbClr val="FFFFFF"/>
    </a:solidFill>
  </c:spPr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📊 Weekly Comparison by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Monthly Dashboard'!$C$30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Dashboard'!$B$31:$B$38</c:f>
            </c:strRef>
          </c:cat>
          <c:val>
            <c:numRef>
              <c:f>'📊 Monthly Dashboard'!$C$31:$C$38</c:f>
              <c:numCache/>
            </c:numRef>
          </c:val>
        </c:ser>
        <c:ser>
          <c:idx val="1"/>
          <c:order val="1"/>
          <c:tx>
            <c:strRef>
              <c:f>'📊 Monthly Dashboard'!$D$30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'📊 Monthly Dashboard'!$B$31:$B$38</c:f>
            </c:strRef>
          </c:cat>
          <c:val>
            <c:numRef>
              <c:f>'📊 Monthly Dashboard'!$D$31:$D$38</c:f>
              <c:numCache/>
            </c:numRef>
          </c:val>
        </c:ser>
        <c:ser>
          <c:idx val="2"/>
          <c:order val="2"/>
          <c:tx>
            <c:strRef>
              <c:f>'📊 Monthly Dashboard'!$E$30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'📊 Monthly Dashboard'!$B$31:$B$38</c:f>
            </c:strRef>
          </c:cat>
          <c:val>
            <c:numRef>
              <c:f>'📊 Monthly Dashboard'!$E$31:$E$38</c:f>
              <c:numCache/>
            </c:numRef>
          </c:val>
        </c:ser>
        <c:ser>
          <c:idx val="3"/>
          <c:order val="3"/>
          <c:tx>
            <c:strRef>
              <c:f>'📊 Monthly Dashboard'!$F$30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'📊 Monthly Dashboard'!$B$31:$B$38</c:f>
            </c:strRef>
          </c:cat>
          <c:val>
            <c:numRef>
              <c:f>'📊 Monthly Dashboard'!$F$31:$F$38</c:f>
              <c:numCache/>
            </c:numRef>
          </c:val>
        </c:ser>
        <c:axId val="420898865"/>
        <c:axId val="704712158"/>
      </c:barChart>
      <c:catAx>
        <c:axId val="4208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712158"/>
      </c:catAx>
      <c:valAx>
        <c:axId val="704712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988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🥧 Monthly Distribution by Group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57C31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EA580C"/>
              </a:solidFill>
            </c:spPr>
          </c:dPt>
          <c:dPt>
            <c:idx val="3"/>
            <c:spPr>
              <a:solidFill>
                <a:srgbClr val="8E029B"/>
              </a:solidFill>
            </c:spPr>
          </c:dPt>
          <c:dPt>
            <c:idx val="4"/>
            <c:spPr>
              <a:solidFill>
                <a:srgbClr val="89FD05"/>
              </a:solidFill>
            </c:spPr>
          </c:dPt>
          <c:dPt>
            <c:idx val="5"/>
            <c:spPr>
              <a:solidFill>
                <a:srgbClr val="EEEEEE"/>
              </a:solidFill>
            </c:spPr>
          </c:dPt>
          <c:dPt>
            <c:idx val="6"/>
            <c:spPr>
              <a:solidFill>
                <a:srgbClr val="4E4D44"/>
              </a:solidFill>
            </c:spPr>
          </c:dPt>
          <c:dPt>
            <c:idx val="7"/>
            <c:spPr>
              <a:solidFill>
                <a:srgbClr val="FF15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Monthly Dashboard'!$B$31:$B$38</c:f>
            </c:strRef>
          </c:cat>
          <c:val>
            <c:numRef>
              <c:f>'📊 Monthly Dashboard'!$G$31:$G$38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💻 Programming Progress — codding + learn-prog (W1→4)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'📊 Monthly Dashboard'!$C$41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Dashboard'!$C$42:$C$45</c:f>
              <c:numCache/>
            </c:numRef>
          </c:val>
        </c:ser>
        <c:ser>
          <c:idx val="1"/>
          <c:order val="1"/>
          <c:tx>
            <c:strRef>
              <c:f>'📊 Monthly Dashboard'!$D$41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Dashboard'!$D$42:$D$45</c:f>
              <c:numCache/>
            </c:numRef>
          </c:val>
        </c:ser>
        <c:overlap val="100"/>
        <c:axId val="85551359"/>
        <c:axId val="375426583"/>
      </c:barChart>
      <c:catAx>
        <c:axId val="8555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426583"/>
      </c:catAx>
      <c:valAx>
        <c:axId val="375426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513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📚 English Progress — En-book + En-listening (W1→4)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'📊 Monthly Dashboard'!$E$41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Dashboard'!$E$42:$E$45</c:f>
              <c:numCache/>
            </c:numRef>
          </c:val>
        </c:ser>
        <c:ser>
          <c:idx val="1"/>
          <c:order val="1"/>
          <c:tx>
            <c:strRef>
              <c:f>'📊 Monthly Dashboard'!$F$41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Dashboard'!$F$42:$F$45</c:f>
              <c:numCache/>
            </c:numRef>
          </c:val>
        </c:ser>
        <c:overlap val="100"/>
        <c:axId val="1847899390"/>
        <c:axId val="1219918257"/>
      </c:barChart>
      <c:catAx>
        <c:axId val="184789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918257"/>
      </c:catAx>
      <c:valAx>
        <c:axId val="1219918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8993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🏋️ Exercises Progress — Run + Gym (W1→4)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'📊 Monthly Dashboard'!$G$41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Dashboard'!$G$42:$G$45</c:f>
              <c:numCache/>
            </c:numRef>
          </c:val>
        </c:ser>
        <c:ser>
          <c:idx val="1"/>
          <c:order val="1"/>
          <c:tx>
            <c:strRef>
              <c:f>'📊 Monthly Dashboard'!$H$41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Dashboard'!$H$42:$H$45</c:f>
              <c:numCache/>
            </c:numRef>
          </c:val>
        </c:ser>
        <c:overlap val="100"/>
        <c:axId val="1143755700"/>
        <c:axId val="847091281"/>
      </c:barChart>
      <c:catAx>
        <c:axId val="1143755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091281"/>
      </c:catAx>
      <c:valAx>
        <c:axId val="847091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7557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🧘 Meditate Progress — Meditation + Setar (W1→4)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'📊 Monthly Dashboard'!$J$41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Dashboard'!$J$42:$J$45</c:f>
              <c:numCache/>
            </c:numRef>
          </c:val>
        </c:ser>
        <c:ser>
          <c:idx val="1"/>
          <c:order val="1"/>
          <c:tx>
            <c:strRef>
              <c:f>'📊 Monthly Dashboard'!$K$41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'📊 Monthly Dashboard'!$B$42:$B$45</c:f>
            </c:strRef>
          </c:cat>
          <c:val>
            <c:numRef>
              <c:f>'📊 Monthly Dashboard'!$K$42:$K$45</c:f>
              <c:numCache/>
            </c:numRef>
          </c:val>
        </c:ser>
        <c:overlap val="100"/>
        <c:axId val="1761716131"/>
        <c:axId val="2056414720"/>
      </c:barChart>
      <c:catAx>
        <c:axId val="1761716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414720"/>
      </c:catAx>
      <c:valAx>
        <c:axId val="2056414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7161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🧑‍💻 Work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'📊 Monthly Dashboard'!$I$41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'📊 Monthly Dashboard'!$B$42:$B$45</c:f>
            </c:strRef>
          </c:cat>
          <c:val>
            <c:numRef>
              <c:f>'📊 Monthly Dashboard'!$I$42:$I$45</c:f>
              <c:numCache/>
            </c:numRef>
          </c:val>
          <c:smooth val="1"/>
        </c:ser>
        <c:axId val="531785416"/>
        <c:axId val="1100193620"/>
      </c:lineChart>
      <c:catAx>
        <c:axId val="531785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193620"/>
      </c:catAx>
      <c:valAx>
        <c:axId val="1100193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785416"/>
      </c:valAx>
    </c:plotArea>
  </c:chart>
  <c:spPr>
    <a:solidFill>
      <a:srgbClr val="FFFFFF"/>
    </a:solidFill>
  </c:spPr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😴 Sleep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'📊 Monthly Dashboard'!$N$41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'📊 Monthly Dashboard'!$B$42:$B$45</c:f>
            </c:strRef>
          </c:cat>
          <c:val>
            <c:numRef>
              <c:f>'📊 Monthly Dashboard'!$N$42:$N$45</c:f>
              <c:numCache/>
            </c:numRef>
          </c:val>
          <c:smooth val="1"/>
        </c:ser>
        <c:axId val="2046163635"/>
        <c:axId val="1816143412"/>
      </c:lineChart>
      <c:catAx>
        <c:axId val="2046163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143412"/>
      </c:catAx>
      <c:valAx>
        <c:axId val="1816143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163635"/>
      </c:valAx>
    </c:plotArea>
  </c:chart>
  <c:spPr>
    <a:solidFill>
      <a:srgbClr val="FFFFFF"/>
    </a:solidFill>
  </c:spPr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⌛ Wasted Time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'📊 Monthly Dashboard'!$M$41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'📊 Monthly Dashboard'!$B$42:$B$45</c:f>
            </c:strRef>
          </c:cat>
          <c:val>
            <c:numRef>
              <c:f>'📊 Monthly Dashboard'!$M$42:$M$45</c:f>
              <c:numCache/>
            </c:numRef>
          </c:val>
          <c:smooth val="1"/>
        </c:ser>
        <c:axId val="1985579594"/>
        <c:axId val="891220134"/>
      </c:lineChart>
      <c:catAx>
        <c:axId val="1985579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220134"/>
      </c:catAx>
      <c:valAx>
        <c:axId val="891220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579594"/>
      </c:valAx>
    </c:plotArea>
  </c:chart>
  <c:spPr>
    <a:solidFill>
      <a:srgbClr val="FFFFFF"/>
    </a:solidFill>
  </c:spPr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F2937"/>
                </a:solidFill>
                <a:latin typeface="+mn-lt"/>
              </a:defRPr>
            </a:pPr>
            <a:r>
              <a:rPr b="1" sz="1300">
                <a:solidFill>
                  <a:srgbClr val="1F2937"/>
                </a:solidFill>
                <a:latin typeface="+mn-lt"/>
              </a:rPr>
              <a:t>⚡ Productive Hours by Week — which week won?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'📊 Monthly Dashboard'!$O$48:$O$51</c:f>
            </c:strRef>
          </c:cat>
          <c:val>
            <c:numRef>
              <c:f>'📊 Monthly Dashboard'!$Q$48:$Q$51</c:f>
              <c:numCache/>
            </c:numRef>
          </c:val>
        </c:ser>
        <c:axId val="1361039025"/>
        <c:axId val="1576174265"/>
      </c:barChart>
      <c:catAx>
        <c:axId val="1361039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174265"/>
      </c:catAx>
      <c:valAx>
        <c:axId val="157617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039025"/>
      </c:valAx>
    </c:plotArea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9.xml"/><Relationship Id="rId10" Type="http://schemas.openxmlformats.org/officeDocument/2006/relationships/chart" Target="../charts/chart28.xml"/><Relationship Id="rId13" Type="http://schemas.openxmlformats.org/officeDocument/2006/relationships/chart" Target="../charts/chart31.xml"/><Relationship Id="rId12" Type="http://schemas.openxmlformats.org/officeDocument/2006/relationships/chart" Target="../charts/chart30.xml"/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5" Type="http://schemas.openxmlformats.org/officeDocument/2006/relationships/chart" Target="../charts/chart33.xml"/><Relationship Id="rId14" Type="http://schemas.openxmlformats.org/officeDocument/2006/relationships/chart" Target="../charts/chart32.xml"/><Relationship Id="rId17" Type="http://schemas.openxmlformats.org/officeDocument/2006/relationships/chart" Target="../charts/chart35.xml"/><Relationship Id="rId16" Type="http://schemas.openxmlformats.org/officeDocument/2006/relationships/chart" Target="../charts/chart34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18" Type="http://schemas.openxmlformats.org/officeDocument/2006/relationships/chart" Target="../charts/chart36.xml"/><Relationship Id="rId7" Type="http://schemas.openxmlformats.org/officeDocument/2006/relationships/chart" Target="../charts/chart25.xml"/><Relationship Id="rId8" Type="http://schemas.openxmlformats.org/officeDocument/2006/relationships/chart" Target="../charts/chart26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47.xml"/><Relationship Id="rId10" Type="http://schemas.openxmlformats.org/officeDocument/2006/relationships/chart" Target="../charts/chart46.xml"/><Relationship Id="rId13" Type="http://schemas.openxmlformats.org/officeDocument/2006/relationships/chart" Target="../charts/chart49.xml"/><Relationship Id="rId12" Type="http://schemas.openxmlformats.org/officeDocument/2006/relationships/chart" Target="../charts/chart48.xml"/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Relationship Id="rId15" Type="http://schemas.openxmlformats.org/officeDocument/2006/relationships/chart" Target="../charts/chart51.xml"/><Relationship Id="rId14" Type="http://schemas.openxmlformats.org/officeDocument/2006/relationships/chart" Target="../charts/chart50.xml"/><Relationship Id="rId17" Type="http://schemas.openxmlformats.org/officeDocument/2006/relationships/chart" Target="../charts/chart53.xml"/><Relationship Id="rId16" Type="http://schemas.openxmlformats.org/officeDocument/2006/relationships/chart" Target="../charts/chart52.xml"/><Relationship Id="rId5" Type="http://schemas.openxmlformats.org/officeDocument/2006/relationships/chart" Target="../charts/chart41.xml"/><Relationship Id="rId6" Type="http://schemas.openxmlformats.org/officeDocument/2006/relationships/chart" Target="../charts/chart42.xml"/><Relationship Id="rId18" Type="http://schemas.openxmlformats.org/officeDocument/2006/relationships/chart" Target="../charts/chart54.xml"/><Relationship Id="rId7" Type="http://schemas.openxmlformats.org/officeDocument/2006/relationships/chart" Target="../charts/chart43.xml"/><Relationship Id="rId8" Type="http://schemas.openxmlformats.org/officeDocument/2006/relationships/chart" Target="../charts/chart44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65.xml"/><Relationship Id="rId10" Type="http://schemas.openxmlformats.org/officeDocument/2006/relationships/chart" Target="../charts/chart64.xml"/><Relationship Id="rId13" Type="http://schemas.openxmlformats.org/officeDocument/2006/relationships/chart" Target="../charts/chart67.xml"/><Relationship Id="rId12" Type="http://schemas.openxmlformats.org/officeDocument/2006/relationships/chart" Target="../charts/chart66.xml"/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Relationship Id="rId15" Type="http://schemas.openxmlformats.org/officeDocument/2006/relationships/chart" Target="../charts/chart69.xml"/><Relationship Id="rId14" Type="http://schemas.openxmlformats.org/officeDocument/2006/relationships/chart" Target="../charts/chart68.xml"/><Relationship Id="rId17" Type="http://schemas.openxmlformats.org/officeDocument/2006/relationships/chart" Target="../charts/chart71.xml"/><Relationship Id="rId16" Type="http://schemas.openxmlformats.org/officeDocument/2006/relationships/chart" Target="../charts/chart70.xml"/><Relationship Id="rId5" Type="http://schemas.openxmlformats.org/officeDocument/2006/relationships/chart" Target="../charts/chart59.xml"/><Relationship Id="rId6" Type="http://schemas.openxmlformats.org/officeDocument/2006/relationships/chart" Target="../charts/chart60.xml"/><Relationship Id="rId18" Type="http://schemas.openxmlformats.org/officeDocument/2006/relationships/chart" Target="../charts/chart72.xml"/><Relationship Id="rId7" Type="http://schemas.openxmlformats.org/officeDocument/2006/relationships/chart" Target="../charts/chart61.xml"/><Relationship Id="rId8" Type="http://schemas.openxmlformats.org/officeDocument/2006/relationships/chart" Target="../charts/chart62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Chart83.png"/><Relationship Id="rId10" Type="http://schemas.openxmlformats.org/officeDocument/2006/relationships/chart" Target="../charts/chart82.xml"/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5" Type="http://schemas.openxmlformats.org/officeDocument/2006/relationships/chart" Target="../charts/chart77.xml"/><Relationship Id="rId6" Type="http://schemas.openxmlformats.org/officeDocument/2006/relationships/chart" Target="../charts/chart78.xml"/><Relationship Id="rId7" Type="http://schemas.openxmlformats.org/officeDocument/2006/relationships/chart" Target="../charts/chart79.xml"/><Relationship Id="rId8" Type="http://schemas.openxmlformats.org/officeDocument/2006/relationships/chart" Target="../charts/chart8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71</xdr:row>
      <xdr:rowOff>38100</xdr:rowOff>
    </xdr:from>
    <xdr:ext cx="447675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38100</xdr:colOff>
      <xdr:row>71</xdr:row>
      <xdr:rowOff>38100</xdr:rowOff>
    </xdr:from>
    <xdr:ext cx="447675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87</xdr:row>
      <xdr:rowOff>38100</xdr:rowOff>
    </xdr:from>
    <xdr:ext cx="4476750" cy="2857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38100</xdr:colOff>
      <xdr:row>87</xdr:row>
      <xdr:rowOff>38100</xdr:rowOff>
    </xdr:from>
    <xdr:ext cx="4476750" cy="28575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103</xdr:row>
      <xdr:rowOff>38100</xdr:rowOff>
    </xdr:from>
    <xdr:ext cx="4476750" cy="2857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38100</xdr:colOff>
      <xdr:row>103</xdr:row>
      <xdr:rowOff>38100</xdr:rowOff>
    </xdr:from>
    <xdr:ext cx="4476750" cy="28575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38100</xdr:colOff>
      <xdr:row>119</xdr:row>
      <xdr:rowOff>38100</xdr:rowOff>
    </xdr:from>
    <xdr:ext cx="4476750" cy="28575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38100</xdr:colOff>
      <xdr:row>119</xdr:row>
      <xdr:rowOff>38100</xdr:rowOff>
    </xdr:from>
    <xdr:ext cx="4476750" cy="28575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38100</xdr:colOff>
      <xdr:row>135</xdr:row>
      <xdr:rowOff>38100</xdr:rowOff>
    </xdr:from>
    <xdr:ext cx="4476750" cy="285750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38100</xdr:colOff>
      <xdr:row>135</xdr:row>
      <xdr:rowOff>38100</xdr:rowOff>
    </xdr:from>
    <xdr:ext cx="4476750" cy="285750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38100</xdr:colOff>
      <xdr:row>151</xdr:row>
      <xdr:rowOff>38100</xdr:rowOff>
    </xdr:from>
    <xdr:ext cx="4476750" cy="28575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38100</xdr:colOff>
      <xdr:row>55</xdr:row>
      <xdr:rowOff>38100</xdr:rowOff>
    </xdr:from>
    <xdr:ext cx="4476750" cy="285750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59</xdr:col>
      <xdr:colOff>38100</xdr:colOff>
      <xdr:row>55</xdr:row>
      <xdr:rowOff>38100</xdr:rowOff>
    </xdr:from>
    <xdr:ext cx="4476750" cy="2857500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51</xdr:col>
      <xdr:colOff>38100</xdr:colOff>
      <xdr:row>71</xdr:row>
      <xdr:rowOff>38100</xdr:rowOff>
    </xdr:from>
    <xdr:ext cx="4476750" cy="2857500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59</xdr:col>
      <xdr:colOff>38100</xdr:colOff>
      <xdr:row>71</xdr:row>
      <xdr:rowOff>38100</xdr:rowOff>
    </xdr:from>
    <xdr:ext cx="4476750" cy="2857500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51</xdr:col>
      <xdr:colOff>38100</xdr:colOff>
      <xdr:row>87</xdr:row>
      <xdr:rowOff>38100</xdr:rowOff>
    </xdr:from>
    <xdr:ext cx="4476750" cy="2857500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59</xdr:col>
      <xdr:colOff>38100</xdr:colOff>
      <xdr:row>87</xdr:row>
      <xdr:rowOff>38100</xdr:rowOff>
    </xdr:from>
    <xdr:ext cx="4476750" cy="2857500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51</xdr:col>
      <xdr:colOff>38100</xdr:colOff>
      <xdr:row>103</xdr:row>
      <xdr:rowOff>38100</xdr:rowOff>
    </xdr:from>
    <xdr:ext cx="4476750" cy="2857500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71</xdr:row>
      <xdr:rowOff>38100</xdr:rowOff>
    </xdr:from>
    <xdr:ext cx="447675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38100</xdr:colOff>
      <xdr:row>71</xdr:row>
      <xdr:rowOff>38100</xdr:rowOff>
    </xdr:from>
    <xdr:ext cx="447675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87</xdr:row>
      <xdr:rowOff>38100</xdr:rowOff>
    </xdr:from>
    <xdr:ext cx="4476750" cy="2857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38100</xdr:colOff>
      <xdr:row>87</xdr:row>
      <xdr:rowOff>38100</xdr:rowOff>
    </xdr:from>
    <xdr:ext cx="4476750" cy="28575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103</xdr:row>
      <xdr:rowOff>38100</xdr:rowOff>
    </xdr:from>
    <xdr:ext cx="4476750" cy="2857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38100</xdr:colOff>
      <xdr:row>103</xdr:row>
      <xdr:rowOff>38100</xdr:rowOff>
    </xdr:from>
    <xdr:ext cx="4476750" cy="28575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38100</xdr:colOff>
      <xdr:row>119</xdr:row>
      <xdr:rowOff>38100</xdr:rowOff>
    </xdr:from>
    <xdr:ext cx="4476750" cy="28575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38100</xdr:colOff>
      <xdr:row>119</xdr:row>
      <xdr:rowOff>38100</xdr:rowOff>
    </xdr:from>
    <xdr:ext cx="4476750" cy="285750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38100</xdr:colOff>
      <xdr:row>135</xdr:row>
      <xdr:rowOff>38100</xdr:rowOff>
    </xdr:from>
    <xdr:ext cx="4476750" cy="285750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38100</xdr:colOff>
      <xdr:row>135</xdr:row>
      <xdr:rowOff>38100</xdr:rowOff>
    </xdr:from>
    <xdr:ext cx="4476750" cy="2857500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38100</xdr:colOff>
      <xdr:row>151</xdr:row>
      <xdr:rowOff>38100</xdr:rowOff>
    </xdr:from>
    <xdr:ext cx="4476750" cy="285750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38100</xdr:colOff>
      <xdr:row>55</xdr:row>
      <xdr:rowOff>38100</xdr:rowOff>
    </xdr:from>
    <xdr:ext cx="4476750" cy="285750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59</xdr:col>
      <xdr:colOff>38100</xdr:colOff>
      <xdr:row>55</xdr:row>
      <xdr:rowOff>38100</xdr:rowOff>
    </xdr:from>
    <xdr:ext cx="4476750" cy="2857500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51</xdr:col>
      <xdr:colOff>38100</xdr:colOff>
      <xdr:row>71</xdr:row>
      <xdr:rowOff>38100</xdr:rowOff>
    </xdr:from>
    <xdr:ext cx="4476750" cy="2857500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59</xdr:col>
      <xdr:colOff>38100</xdr:colOff>
      <xdr:row>71</xdr:row>
      <xdr:rowOff>38100</xdr:rowOff>
    </xdr:from>
    <xdr:ext cx="4476750" cy="2857500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51</xdr:col>
      <xdr:colOff>38100</xdr:colOff>
      <xdr:row>87</xdr:row>
      <xdr:rowOff>38100</xdr:rowOff>
    </xdr:from>
    <xdr:ext cx="4476750" cy="2857500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59</xdr:col>
      <xdr:colOff>38100</xdr:colOff>
      <xdr:row>87</xdr:row>
      <xdr:rowOff>38100</xdr:rowOff>
    </xdr:from>
    <xdr:ext cx="4476750" cy="2857500"/>
    <xdr:graphicFrame>
      <xdr:nvGraphicFramePr>
        <xdr:cNvPr id="6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51</xdr:col>
      <xdr:colOff>38100</xdr:colOff>
      <xdr:row>103</xdr:row>
      <xdr:rowOff>38100</xdr:rowOff>
    </xdr:from>
    <xdr:ext cx="4476750" cy="2857500"/>
    <xdr:graphicFrame>
      <xdr:nvGraphicFramePr>
        <xdr:cNvPr id="6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71</xdr:row>
      <xdr:rowOff>38100</xdr:rowOff>
    </xdr:from>
    <xdr:ext cx="447675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38100</xdr:colOff>
      <xdr:row>71</xdr:row>
      <xdr:rowOff>38100</xdr:rowOff>
    </xdr:from>
    <xdr:ext cx="447675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87</xdr:row>
      <xdr:rowOff>38100</xdr:rowOff>
    </xdr:from>
    <xdr:ext cx="4476750" cy="2857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38100</xdr:colOff>
      <xdr:row>87</xdr:row>
      <xdr:rowOff>38100</xdr:rowOff>
    </xdr:from>
    <xdr:ext cx="4476750" cy="28575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103</xdr:row>
      <xdr:rowOff>38100</xdr:rowOff>
    </xdr:from>
    <xdr:ext cx="4476750" cy="285750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38100</xdr:colOff>
      <xdr:row>103</xdr:row>
      <xdr:rowOff>38100</xdr:rowOff>
    </xdr:from>
    <xdr:ext cx="4476750" cy="285750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38100</xdr:colOff>
      <xdr:row>119</xdr:row>
      <xdr:rowOff>38100</xdr:rowOff>
    </xdr:from>
    <xdr:ext cx="4476750" cy="285750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38100</xdr:colOff>
      <xdr:row>119</xdr:row>
      <xdr:rowOff>38100</xdr:rowOff>
    </xdr:from>
    <xdr:ext cx="4476750" cy="2857500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38100</xdr:colOff>
      <xdr:row>135</xdr:row>
      <xdr:rowOff>38100</xdr:rowOff>
    </xdr:from>
    <xdr:ext cx="4476750" cy="2857500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38100</xdr:colOff>
      <xdr:row>135</xdr:row>
      <xdr:rowOff>38100</xdr:rowOff>
    </xdr:from>
    <xdr:ext cx="4476750" cy="2857500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38100</xdr:colOff>
      <xdr:row>151</xdr:row>
      <xdr:rowOff>38100</xdr:rowOff>
    </xdr:from>
    <xdr:ext cx="4476750" cy="2857500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38100</xdr:colOff>
      <xdr:row>55</xdr:row>
      <xdr:rowOff>38100</xdr:rowOff>
    </xdr:from>
    <xdr:ext cx="4476750" cy="2857500"/>
    <xdr:graphicFrame>
      <xdr:nvGraphicFramePr>
        <xdr:cNvPr id="5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59</xdr:col>
      <xdr:colOff>38100</xdr:colOff>
      <xdr:row>55</xdr:row>
      <xdr:rowOff>38100</xdr:rowOff>
    </xdr:from>
    <xdr:ext cx="4476750" cy="2857500"/>
    <xdr:graphicFrame>
      <xdr:nvGraphicFramePr>
        <xdr:cNvPr id="6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51</xdr:col>
      <xdr:colOff>38100</xdr:colOff>
      <xdr:row>71</xdr:row>
      <xdr:rowOff>38100</xdr:rowOff>
    </xdr:from>
    <xdr:ext cx="4476750" cy="2857500"/>
    <xdr:graphicFrame>
      <xdr:nvGraphicFramePr>
        <xdr:cNvPr id="6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59</xdr:col>
      <xdr:colOff>38100</xdr:colOff>
      <xdr:row>71</xdr:row>
      <xdr:rowOff>38100</xdr:rowOff>
    </xdr:from>
    <xdr:ext cx="4476750" cy="2857500"/>
    <xdr:graphicFrame>
      <xdr:nvGraphicFramePr>
        <xdr:cNvPr id="6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51</xdr:col>
      <xdr:colOff>38100</xdr:colOff>
      <xdr:row>87</xdr:row>
      <xdr:rowOff>38100</xdr:rowOff>
    </xdr:from>
    <xdr:ext cx="4476750" cy="2857500"/>
    <xdr:graphicFrame>
      <xdr:nvGraphicFramePr>
        <xdr:cNvPr id="7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59</xdr:col>
      <xdr:colOff>38100</xdr:colOff>
      <xdr:row>87</xdr:row>
      <xdr:rowOff>38100</xdr:rowOff>
    </xdr:from>
    <xdr:ext cx="4476750" cy="2857500"/>
    <xdr:graphicFrame>
      <xdr:nvGraphicFramePr>
        <xdr:cNvPr id="7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51</xdr:col>
      <xdr:colOff>38100</xdr:colOff>
      <xdr:row>103</xdr:row>
      <xdr:rowOff>38100</xdr:rowOff>
    </xdr:from>
    <xdr:ext cx="4476750" cy="2857500"/>
    <xdr:graphicFrame>
      <xdr:nvGraphicFramePr>
        <xdr:cNvPr id="72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71</xdr:row>
      <xdr:rowOff>38100</xdr:rowOff>
    </xdr:from>
    <xdr:ext cx="4476750" cy="2857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38100</xdr:colOff>
      <xdr:row>71</xdr:row>
      <xdr:rowOff>38100</xdr:rowOff>
    </xdr:from>
    <xdr:ext cx="4476750" cy="28575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87</xdr:row>
      <xdr:rowOff>38100</xdr:rowOff>
    </xdr:from>
    <xdr:ext cx="4476750" cy="28575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38100</xdr:colOff>
      <xdr:row>87</xdr:row>
      <xdr:rowOff>38100</xdr:rowOff>
    </xdr:from>
    <xdr:ext cx="4476750" cy="28575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103</xdr:row>
      <xdr:rowOff>38100</xdr:rowOff>
    </xdr:from>
    <xdr:ext cx="4476750" cy="285750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38100</xdr:colOff>
      <xdr:row>103</xdr:row>
      <xdr:rowOff>38100</xdr:rowOff>
    </xdr:from>
    <xdr:ext cx="4476750" cy="28575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38100</xdr:colOff>
      <xdr:row>119</xdr:row>
      <xdr:rowOff>38100</xdr:rowOff>
    </xdr:from>
    <xdr:ext cx="4476750" cy="285750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38100</xdr:colOff>
      <xdr:row>119</xdr:row>
      <xdr:rowOff>38100</xdr:rowOff>
    </xdr:from>
    <xdr:ext cx="4476750" cy="285750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38100</xdr:colOff>
      <xdr:row>135</xdr:row>
      <xdr:rowOff>38100</xdr:rowOff>
    </xdr:from>
    <xdr:ext cx="4476750" cy="2857500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19</xdr:col>
      <xdr:colOff>38100</xdr:colOff>
      <xdr:row>135</xdr:row>
      <xdr:rowOff>38100</xdr:rowOff>
    </xdr:from>
    <xdr:ext cx="4476750" cy="2857500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38100</xdr:colOff>
      <xdr:row>151</xdr:row>
      <xdr:rowOff>38100</xdr:rowOff>
    </xdr:from>
    <xdr:ext cx="4476750" cy="2857500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38100</xdr:colOff>
      <xdr:row>55</xdr:row>
      <xdr:rowOff>38100</xdr:rowOff>
    </xdr:from>
    <xdr:ext cx="4476750" cy="2857500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59</xdr:col>
      <xdr:colOff>38100</xdr:colOff>
      <xdr:row>55</xdr:row>
      <xdr:rowOff>38100</xdr:rowOff>
    </xdr:from>
    <xdr:ext cx="4476750" cy="2857500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51</xdr:col>
      <xdr:colOff>38100</xdr:colOff>
      <xdr:row>71</xdr:row>
      <xdr:rowOff>38100</xdr:rowOff>
    </xdr:from>
    <xdr:ext cx="4476750" cy="2857500"/>
    <xdr:graphicFrame>
      <xdr:nvGraphicFramePr>
        <xdr:cNvPr id="6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59</xdr:col>
      <xdr:colOff>38100</xdr:colOff>
      <xdr:row>71</xdr:row>
      <xdr:rowOff>38100</xdr:rowOff>
    </xdr:from>
    <xdr:ext cx="4476750" cy="2857500"/>
    <xdr:graphicFrame>
      <xdr:nvGraphicFramePr>
        <xdr:cNvPr id="6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51</xdr:col>
      <xdr:colOff>38100</xdr:colOff>
      <xdr:row>87</xdr:row>
      <xdr:rowOff>38100</xdr:rowOff>
    </xdr:from>
    <xdr:ext cx="4476750" cy="2857500"/>
    <xdr:graphicFrame>
      <xdr:nvGraphicFramePr>
        <xdr:cNvPr id="6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59</xdr:col>
      <xdr:colOff>38100</xdr:colOff>
      <xdr:row>87</xdr:row>
      <xdr:rowOff>38100</xdr:rowOff>
    </xdr:from>
    <xdr:ext cx="4476750" cy="2857500"/>
    <xdr:graphicFrame>
      <xdr:nvGraphicFramePr>
        <xdr:cNvPr id="6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51</xdr:col>
      <xdr:colOff>38100</xdr:colOff>
      <xdr:row>103</xdr:row>
      <xdr:rowOff>38100</xdr:rowOff>
    </xdr:from>
    <xdr:ext cx="4476750" cy="2857500"/>
    <xdr:graphicFrame>
      <xdr:nvGraphicFramePr>
        <xdr:cNvPr id="6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57</xdr:row>
      <xdr:rowOff>38100</xdr:rowOff>
    </xdr:from>
    <xdr:ext cx="4476750" cy="2857500"/>
    <xdr:graphicFrame>
      <xdr:nvGraphicFramePr>
        <xdr:cNvPr id="73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38100</xdr:colOff>
      <xdr:row>57</xdr:row>
      <xdr:rowOff>38100</xdr:rowOff>
    </xdr:from>
    <xdr:ext cx="4476750" cy="2857500"/>
    <xdr:graphicFrame>
      <xdr:nvGraphicFramePr>
        <xdr:cNvPr id="74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73</xdr:row>
      <xdr:rowOff>38100</xdr:rowOff>
    </xdr:from>
    <xdr:ext cx="4476750" cy="2857500"/>
    <xdr:graphicFrame>
      <xdr:nvGraphicFramePr>
        <xdr:cNvPr id="7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38100</xdr:colOff>
      <xdr:row>73</xdr:row>
      <xdr:rowOff>38100</xdr:rowOff>
    </xdr:from>
    <xdr:ext cx="4476750" cy="2857500"/>
    <xdr:graphicFrame>
      <xdr:nvGraphicFramePr>
        <xdr:cNvPr id="76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89</xdr:row>
      <xdr:rowOff>38100</xdr:rowOff>
    </xdr:from>
    <xdr:ext cx="4476750" cy="2857500"/>
    <xdr:graphicFrame>
      <xdr:nvGraphicFramePr>
        <xdr:cNvPr id="77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38100</xdr:colOff>
      <xdr:row>89</xdr:row>
      <xdr:rowOff>38100</xdr:rowOff>
    </xdr:from>
    <xdr:ext cx="4476750" cy="2857500"/>
    <xdr:graphicFrame>
      <xdr:nvGraphicFramePr>
        <xdr:cNvPr id="78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38100</xdr:colOff>
      <xdr:row>105</xdr:row>
      <xdr:rowOff>38100</xdr:rowOff>
    </xdr:from>
    <xdr:ext cx="4476750" cy="2857500"/>
    <xdr:graphicFrame>
      <xdr:nvGraphicFramePr>
        <xdr:cNvPr id="7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38100</xdr:colOff>
      <xdr:row>105</xdr:row>
      <xdr:rowOff>38100</xdr:rowOff>
    </xdr:from>
    <xdr:ext cx="4476750" cy="2857500"/>
    <xdr:graphicFrame>
      <xdr:nvGraphicFramePr>
        <xdr:cNvPr id="80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38100</xdr:colOff>
      <xdr:row>121</xdr:row>
      <xdr:rowOff>38100</xdr:rowOff>
    </xdr:from>
    <xdr:ext cx="4476750" cy="2857500"/>
    <xdr:graphicFrame>
      <xdr:nvGraphicFramePr>
        <xdr:cNvPr id="81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38100</xdr:colOff>
      <xdr:row>137</xdr:row>
      <xdr:rowOff>38100</xdr:rowOff>
    </xdr:from>
    <xdr:ext cx="4476750" cy="2857500"/>
    <xdr:graphicFrame>
      <xdr:nvGraphicFramePr>
        <xdr:cNvPr id="82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10</xdr:col>
      <xdr:colOff>38100</xdr:colOff>
      <xdr:row>121</xdr:row>
      <xdr:rowOff>38100</xdr:rowOff>
    </xdr:from>
    <xdr:ext cx="4476750" cy="2857500"/>
    <xdr:pic>
      <xdr:nvPicPr>
        <xdr:cNvPr id="1610409800" name="Chart83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4B8"/>
    <outlinePr summaryBelow="0" summaryRight="0"/>
  </sheetPr>
  <sheetViews>
    <sheetView workbookViewId="0"/>
  </sheetViews>
  <sheetFormatPr customHeight="1" defaultColWidth="12.63" defaultRowHeight="15.75"/>
  <cols>
    <col customWidth="1" min="4" max="4" width="42.63"/>
  </cols>
  <sheetData>
    <row r="1">
      <c r="A1" s="1" t="s">
        <v>0</v>
      </c>
      <c r="B1" s="1" t="s">
        <v>1</v>
      </c>
      <c r="D1" s="1" t="s">
        <v>2</v>
      </c>
    </row>
    <row r="2">
      <c r="A2" s="2" t="s">
        <v>3</v>
      </c>
      <c r="B2" s="3" t="s">
        <v>4</v>
      </c>
      <c r="D2" s="2" t="s">
        <v>5</v>
      </c>
      <c r="E2" s="4">
        <v>60.0</v>
      </c>
    </row>
    <row r="3">
      <c r="A3" s="2" t="s">
        <v>6</v>
      </c>
      <c r="B3" s="5" t="s">
        <v>7</v>
      </c>
      <c r="D3" s="2" t="s">
        <v>8</v>
      </c>
      <c r="E3" s="4">
        <v>30.0</v>
      </c>
    </row>
    <row r="4">
      <c r="A4" s="2" t="s">
        <v>9</v>
      </c>
      <c r="B4" s="6" t="s">
        <v>10</v>
      </c>
      <c r="D4" s="2" t="s">
        <v>11</v>
      </c>
      <c r="E4" s="4">
        <v>20.0</v>
      </c>
    </row>
    <row r="5">
      <c r="A5" s="2" t="s">
        <v>12</v>
      </c>
      <c r="B5" s="7" t="s">
        <v>13</v>
      </c>
      <c r="D5" s="2" t="s">
        <v>14</v>
      </c>
      <c r="E5" s="4">
        <v>15.0</v>
      </c>
    </row>
    <row r="6">
      <c r="A6" s="2" t="s">
        <v>15</v>
      </c>
      <c r="B6" s="8" t="s">
        <v>16</v>
      </c>
      <c r="D6" s="2" t="s">
        <v>17</v>
      </c>
      <c r="E6" s="4">
        <v>80.0</v>
      </c>
    </row>
    <row r="7">
      <c r="A7" s="2" t="s">
        <v>18</v>
      </c>
      <c r="B7" s="9" t="s">
        <v>19</v>
      </c>
      <c r="D7" s="2" t="s">
        <v>20</v>
      </c>
      <c r="E7" s="4">
        <v>30.0</v>
      </c>
    </row>
    <row r="8">
      <c r="A8" s="2" t="s">
        <v>21</v>
      </c>
      <c r="B8" s="10" t="s">
        <v>22</v>
      </c>
      <c r="D8" s="2" t="s">
        <v>23</v>
      </c>
      <c r="E8" s="4">
        <v>8.0</v>
      </c>
    </row>
    <row r="9">
      <c r="A9" s="2" t="s">
        <v>24</v>
      </c>
      <c r="B9" s="11" t="s">
        <v>25</v>
      </c>
      <c r="D9" s="2" t="s">
        <v>26</v>
      </c>
      <c r="E9" s="4">
        <v>40.0</v>
      </c>
    </row>
    <row r="10">
      <c r="A10" s="2" t="s">
        <v>27</v>
      </c>
      <c r="B10" s="12" t="s">
        <v>28</v>
      </c>
      <c r="D10" s="2" t="s">
        <v>29</v>
      </c>
      <c r="E10" s="13">
        <v>46251.0</v>
      </c>
    </row>
    <row r="11">
      <c r="A11" s="2" t="s">
        <v>30</v>
      </c>
      <c r="B11" s="14" t="s">
        <v>31</v>
      </c>
    </row>
    <row r="12">
      <c r="A12" s="2" t="s">
        <v>32</v>
      </c>
      <c r="B12" s="15" t="s">
        <v>33</v>
      </c>
    </row>
    <row r="13">
      <c r="A13" s="2" t="s">
        <v>34</v>
      </c>
      <c r="B13" s="16" t="s">
        <v>35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4.13"/>
    <col customWidth="1" min="3" max="50" width="3.88"/>
    <col customWidth="1" min="51" max="51" width="2.88"/>
    <col customWidth="1" min="52" max="52" width="5.63"/>
    <col customWidth="1" min="53" max="53" width="28.88"/>
    <col customWidth="1" min="54" max="54" width="31.38"/>
    <col customWidth="1" min="55" max="55" width="2.63"/>
    <col customWidth="1" min="56" max="56" width="12.13"/>
    <col customWidth="1" min="57" max="68" width="10.75"/>
    <col customWidth="1" min="69" max="69" width="10.13"/>
    <col customWidth="1" min="70" max="70" width="2.13"/>
  </cols>
  <sheetData>
    <row r="1" ht="37.5" customHeight="1">
      <c r="A1" s="17"/>
      <c r="B1" s="18" t="s">
        <v>36</v>
      </c>
      <c r="AY1" s="17"/>
      <c r="AZ1" s="19" t="s">
        <v>37</v>
      </c>
      <c r="BL1" s="17"/>
      <c r="BM1" s="17"/>
      <c r="BN1" s="17"/>
      <c r="BO1" s="17"/>
      <c r="BP1" s="17"/>
      <c r="BQ1" s="17"/>
      <c r="BR1" s="17"/>
    </row>
    <row r="2" ht="21.0" customHeight="1">
      <c r="A2" s="17"/>
      <c r="B2" s="20" t="s">
        <v>38</v>
      </c>
      <c r="AY2" s="17"/>
      <c r="AZ2" s="21" t="s">
        <v>40</v>
      </c>
      <c r="BL2" s="17"/>
      <c r="BM2" s="17"/>
      <c r="BN2" s="17"/>
      <c r="BO2" s="17"/>
      <c r="BP2" s="17"/>
      <c r="BQ2" s="17"/>
      <c r="BR2" s="17"/>
    </row>
    <row r="3" ht="22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22" t="s">
        <v>42</v>
      </c>
      <c r="BC3" s="17"/>
      <c r="BD3" s="22" t="s">
        <v>43</v>
      </c>
      <c r="BR3" s="17"/>
    </row>
    <row r="4" ht="19.5" customHeight="1">
      <c r="A4" s="17"/>
      <c r="B4" s="23" t="s">
        <v>44</v>
      </c>
      <c r="C4" s="24">
        <v>0.0</v>
      </c>
      <c r="D4" s="25"/>
      <c r="E4" s="24">
        <v>1.0</v>
      </c>
      <c r="F4" s="25"/>
      <c r="G4" s="24">
        <v>2.0</v>
      </c>
      <c r="H4" s="25"/>
      <c r="I4" s="24">
        <v>3.0</v>
      </c>
      <c r="J4" s="25"/>
      <c r="K4" s="24">
        <v>4.0</v>
      </c>
      <c r="L4" s="25"/>
      <c r="M4" s="24">
        <v>5.0</v>
      </c>
      <c r="N4" s="25"/>
      <c r="O4" s="26">
        <v>6.0</v>
      </c>
      <c r="P4" s="25"/>
      <c r="Q4" s="26">
        <v>7.0</v>
      </c>
      <c r="R4" s="25"/>
      <c r="S4" s="26">
        <v>8.0</v>
      </c>
      <c r="T4" s="25"/>
      <c r="U4" s="26">
        <v>9.0</v>
      </c>
      <c r="V4" s="25"/>
      <c r="W4" s="26">
        <v>10.0</v>
      </c>
      <c r="X4" s="25"/>
      <c r="Y4" s="26">
        <v>11.0</v>
      </c>
      <c r="Z4" s="25"/>
      <c r="AA4" s="27">
        <v>12.0</v>
      </c>
      <c r="AB4" s="25"/>
      <c r="AC4" s="27">
        <v>13.0</v>
      </c>
      <c r="AD4" s="25"/>
      <c r="AE4" s="27">
        <v>14.0</v>
      </c>
      <c r="AF4" s="25"/>
      <c r="AG4" s="27">
        <v>15.0</v>
      </c>
      <c r="AH4" s="25"/>
      <c r="AI4" s="27">
        <v>16.0</v>
      </c>
      <c r="AJ4" s="25"/>
      <c r="AK4" s="27">
        <v>17.0</v>
      </c>
      <c r="AL4" s="25"/>
      <c r="AM4" s="28">
        <v>18.0</v>
      </c>
      <c r="AN4" s="25"/>
      <c r="AO4" s="28">
        <v>19.0</v>
      </c>
      <c r="AP4" s="25"/>
      <c r="AQ4" s="28">
        <v>20.0</v>
      </c>
      <c r="AR4" s="25"/>
      <c r="AS4" s="28">
        <v>21.0</v>
      </c>
      <c r="AT4" s="25"/>
      <c r="AU4" s="28">
        <v>22.0</v>
      </c>
      <c r="AV4" s="25"/>
      <c r="AW4" s="28">
        <v>23.0</v>
      </c>
      <c r="AX4" s="25"/>
      <c r="AY4" s="17"/>
      <c r="AZ4" s="29" t="s">
        <v>45</v>
      </c>
      <c r="BA4" s="30"/>
      <c r="BB4" s="25"/>
      <c r="BC4" s="17"/>
      <c r="BD4" s="31" t="s">
        <v>46</v>
      </c>
      <c r="BE4" s="31" t="s">
        <v>47</v>
      </c>
      <c r="BF4" s="31" t="s">
        <v>49</v>
      </c>
      <c r="BG4" s="31" t="s">
        <v>50</v>
      </c>
      <c r="BH4" s="31" t="s">
        <v>51</v>
      </c>
      <c r="BI4" s="31" t="s">
        <v>52</v>
      </c>
      <c r="BJ4" s="31" t="s">
        <v>53</v>
      </c>
      <c r="BK4" s="31" t="s">
        <v>54</v>
      </c>
      <c r="BL4" s="31" t="s">
        <v>55</v>
      </c>
      <c r="BM4" s="31" t="s">
        <v>56</v>
      </c>
      <c r="BN4" s="31" t="s">
        <v>57</v>
      </c>
      <c r="BO4" s="31" t="s">
        <v>58</v>
      </c>
      <c r="BP4" s="31" t="s">
        <v>59</v>
      </c>
      <c r="BQ4" s="31" t="s">
        <v>60</v>
      </c>
      <c r="BR4" s="17"/>
    </row>
    <row r="5" ht="16.5" customHeight="1">
      <c r="A5" s="17"/>
      <c r="B5" s="32"/>
      <c r="C5" s="33">
        <v>0.0</v>
      </c>
      <c r="D5" s="33">
        <v>30.0</v>
      </c>
      <c r="E5" s="33">
        <v>0.0</v>
      </c>
      <c r="F5" s="33">
        <v>30.0</v>
      </c>
      <c r="G5" s="33">
        <v>0.0</v>
      </c>
      <c r="H5" s="33">
        <v>30.0</v>
      </c>
      <c r="I5" s="33">
        <v>0.0</v>
      </c>
      <c r="J5" s="33">
        <v>30.0</v>
      </c>
      <c r="K5" s="33">
        <v>0.0</v>
      </c>
      <c r="L5" s="33">
        <v>30.0</v>
      </c>
      <c r="M5" s="33">
        <v>0.0</v>
      </c>
      <c r="N5" s="33">
        <v>30.0</v>
      </c>
      <c r="O5" s="33">
        <v>0.0</v>
      </c>
      <c r="P5" s="33">
        <v>30.0</v>
      </c>
      <c r="Q5" s="33">
        <v>0.0</v>
      </c>
      <c r="R5" s="33">
        <v>30.0</v>
      </c>
      <c r="S5" s="33">
        <v>0.0</v>
      </c>
      <c r="T5" s="33">
        <v>30.0</v>
      </c>
      <c r="U5" s="33">
        <v>0.0</v>
      </c>
      <c r="V5" s="33">
        <v>30.0</v>
      </c>
      <c r="W5" s="33">
        <v>0.0</v>
      </c>
      <c r="X5" s="33">
        <v>30.0</v>
      </c>
      <c r="Y5" s="33">
        <v>0.0</v>
      </c>
      <c r="Z5" s="33">
        <v>30.0</v>
      </c>
      <c r="AA5" s="33">
        <v>0.0</v>
      </c>
      <c r="AB5" s="33">
        <v>30.0</v>
      </c>
      <c r="AC5" s="33">
        <v>0.0</v>
      </c>
      <c r="AD5" s="33">
        <v>30.0</v>
      </c>
      <c r="AE5" s="33">
        <v>0.0</v>
      </c>
      <c r="AF5" s="33">
        <v>30.0</v>
      </c>
      <c r="AG5" s="33">
        <v>0.0</v>
      </c>
      <c r="AH5" s="33">
        <v>30.0</v>
      </c>
      <c r="AI5" s="33">
        <v>0.0</v>
      </c>
      <c r="AJ5" s="33">
        <v>30.0</v>
      </c>
      <c r="AK5" s="33">
        <v>0.0</v>
      </c>
      <c r="AL5" s="33">
        <v>30.0</v>
      </c>
      <c r="AM5" s="33">
        <v>0.0</v>
      </c>
      <c r="AN5" s="33">
        <v>30.0</v>
      </c>
      <c r="AO5" s="33">
        <v>0.0</v>
      </c>
      <c r="AP5" s="33">
        <v>30.0</v>
      </c>
      <c r="AQ5" s="33">
        <v>0.0</v>
      </c>
      <c r="AR5" s="33">
        <v>30.0</v>
      </c>
      <c r="AS5" s="33">
        <v>0.0</v>
      </c>
      <c r="AT5" s="33">
        <v>30.0</v>
      </c>
      <c r="AU5" s="33">
        <v>0.0</v>
      </c>
      <c r="AV5" s="33">
        <v>30.0</v>
      </c>
      <c r="AW5" s="33">
        <v>0.0</v>
      </c>
      <c r="AX5" s="33">
        <v>30.0</v>
      </c>
      <c r="AY5" s="17"/>
      <c r="AZ5" s="34" t="b">
        <v>0</v>
      </c>
      <c r="BA5" s="35"/>
      <c r="BB5" s="35"/>
      <c r="BC5" s="17"/>
      <c r="BD5" s="36" t="s">
        <v>62</v>
      </c>
      <c r="BE5" s="37">
        <f>COUNTIF($C$6:$AX$6,"codding")*0.5</f>
        <v>0</v>
      </c>
      <c r="BF5" s="37">
        <f>COUNTIF($C$6:$AX$6,"learn-prog")*0.5</f>
        <v>0</v>
      </c>
      <c r="BG5" s="37">
        <f>COUNTIF($C$6:$AX$6,"En-book")*0.5</f>
        <v>0</v>
      </c>
      <c r="BH5" s="37">
        <f>COUNTIF($C$6:$AX$6,"En-listening")*0.5</f>
        <v>0</v>
      </c>
      <c r="BI5" s="37">
        <f>COUNTIF($C$6:$AX$6,"Run")*0.5</f>
        <v>0</v>
      </c>
      <c r="BJ5" s="37">
        <f>COUNTIF($C$6:$AX$6,"Gym")*0.5</f>
        <v>0</v>
      </c>
      <c r="BK5" s="37">
        <f>COUNTIF($C$6:$AX$6,"work")*0.5</f>
        <v>0</v>
      </c>
      <c r="BL5" s="37">
        <f>COUNTIF($C$6:$AX$6,"Meditation")*0.5</f>
        <v>0</v>
      </c>
      <c r="BM5" s="37">
        <f>COUNTIF($C$6:$AX$6,"Setar")*0.5</f>
        <v>0</v>
      </c>
      <c r="BN5" s="37">
        <f>COUNTIF($C$6:$AX$6,"Personal Tasks")*0.5</f>
        <v>0</v>
      </c>
      <c r="BO5" s="37">
        <f>COUNTIF($C$6:$AX$6,"Wasted Time")*0.5</f>
        <v>0</v>
      </c>
      <c r="BP5" s="37">
        <f>COUNTIF($C$6:$AX$6,"Sleep")*0.5</f>
        <v>0</v>
      </c>
      <c r="BQ5" s="38">
        <f t="shared" ref="BQ5:BQ11" si="1">SUM(BE5:BP5)</f>
        <v>0</v>
      </c>
      <c r="BR5" s="17"/>
    </row>
    <row r="6" ht="27.0" customHeight="1">
      <c r="A6" s="17"/>
      <c r="B6" s="39" t="str">
        <f>"Monday"&amp;CHAR(10)&amp;TEXT(MONTH_START+0,"d mmm")</f>
        <v>Monday
17 Aug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17"/>
      <c r="AZ6" s="34" t="b">
        <v>0</v>
      </c>
      <c r="BA6" s="35"/>
      <c r="BB6" s="35"/>
      <c r="BC6" s="17"/>
      <c r="BD6" s="36" t="s">
        <v>65</v>
      </c>
      <c r="BE6" s="37">
        <f>COUNTIF($C$7:$AX$7,"codding")*0.5</f>
        <v>0</v>
      </c>
      <c r="BF6" s="37">
        <f>COUNTIF($C$7:$AX$7,"learn-prog")*0.5</f>
        <v>0</v>
      </c>
      <c r="BG6" s="37">
        <f>COUNTIF($C$7:$AX$7,"En-book")*0.5</f>
        <v>0</v>
      </c>
      <c r="BH6" s="37">
        <f>COUNTIF($C$7:$AX$7,"En-listening")*0.5</f>
        <v>0</v>
      </c>
      <c r="BI6" s="37">
        <f>COUNTIF($C$7:$AX$7,"Run")*0.5</f>
        <v>0</v>
      </c>
      <c r="BJ6" s="37">
        <f>COUNTIF($C$7:$AX$7,"Gym")*0.5</f>
        <v>0</v>
      </c>
      <c r="BK6" s="37">
        <f>COUNTIF($C$7:$AX$7,"work")*0.5</f>
        <v>0</v>
      </c>
      <c r="BL6" s="37">
        <f>COUNTIF($C$7:$AX$7,"Meditation")*0.5</f>
        <v>0</v>
      </c>
      <c r="BM6" s="37">
        <f>COUNTIF($C$7:$AX$7,"Setar")*0.5</f>
        <v>0</v>
      </c>
      <c r="BN6" s="37">
        <f>COUNTIF($C$7:$AX$7,"Personal Tasks")*0.5</f>
        <v>0</v>
      </c>
      <c r="BO6" s="37">
        <f>COUNTIF($C$7:$AX$7,"Wasted Time")*0.5</f>
        <v>0</v>
      </c>
      <c r="BP6" s="37">
        <f>COUNTIF($C$7:$AX$7,"Sleep")*0.5</f>
        <v>0</v>
      </c>
      <c r="BQ6" s="38">
        <f t="shared" si="1"/>
        <v>0</v>
      </c>
      <c r="BR6" s="17"/>
    </row>
    <row r="7" ht="27.0" customHeight="1">
      <c r="A7" s="17"/>
      <c r="B7" s="39" t="str">
        <f>"Tuesday"&amp;CHAR(10)&amp;TEXT(MONTH_START+1,"d mmm")</f>
        <v>Tuesday
18 Aug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17"/>
      <c r="AZ7" s="34" t="b">
        <v>0</v>
      </c>
      <c r="BA7" s="35"/>
      <c r="BB7" s="35"/>
      <c r="BC7" s="17"/>
      <c r="BD7" s="36" t="s">
        <v>66</v>
      </c>
      <c r="BE7" s="37">
        <f>COUNTIF($C$8:$AX$8,"codding")*0.5</f>
        <v>0</v>
      </c>
      <c r="BF7" s="37">
        <f>COUNTIF($C$8:$AX$8,"learn-prog")*0.5</f>
        <v>0</v>
      </c>
      <c r="BG7" s="37">
        <f>COUNTIF($C$8:$AX$8,"En-book")*0.5</f>
        <v>0</v>
      </c>
      <c r="BH7" s="37">
        <f>COUNTIF($C$8:$AX$8,"En-listening")*0.5</f>
        <v>0</v>
      </c>
      <c r="BI7" s="37">
        <f>COUNTIF($C$8:$AX$8,"Run")*0.5</f>
        <v>0</v>
      </c>
      <c r="BJ7" s="37">
        <f>COUNTIF($C$8:$AX$8,"Gym")*0.5</f>
        <v>0</v>
      </c>
      <c r="BK7" s="37">
        <f>COUNTIF($C$8:$AX$8,"work")*0.5</f>
        <v>0</v>
      </c>
      <c r="BL7" s="37">
        <f>COUNTIF($C$8:$AX$8,"Meditation")*0.5</f>
        <v>0</v>
      </c>
      <c r="BM7" s="37">
        <f>COUNTIF($C$8:$AX$8,"Setar")*0.5</f>
        <v>0</v>
      </c>
      <c r="BN7" s="37">
        <f>COUNTIF($C$8:$AX$8,"Personal Tasks")*0.5</f>
        <v>0</v>
      </c>
      <c r="BO7" s="37">
        <f>COUNTIF($C$8:$AX$8,"Wasted Time")*0.5</f>
        <v>0</v>
      </c>
      <c r="BP7" s="37">
        <f>COUNTIF($C$8:$AX$8,"Sleep")*0.5</f>
        <v>0</v>
      </c>
      <c r="BQ7" s="38">
        <f t="shared" si="1"/>
        <v>0</v>
      </c>
      <c r="BR7" s="17"/>
    </row>
    <row r="8" ht="27.0" customHeight="1">
      <c r="A8" s="17"/>
      <c r="B8" s="39" t="str">
        <f>"Wednesday"&amp;CHAR(10)&amp;TEXT(MONTH_START+2,"d mmm")</f>
        <v>Wednesday
19 Aug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17"/>
      <c r="AZ8" s="34" t="b">
        <v>0</v>
      </c>
      <c r="BA8" s="35"/>
      <c r="BB8" s="35"/>
      <c r="BC8" s="17"/>
      <c r="BD8" s="36" t="s">
        <v>67</v>
      </c>
      <c r="BE8" s="37">
        <f>COUNTIF($C$9:$AX$9,"codding")*0.5</f>
        <v>0</v>
      </c>
      <c r="BF8" s="37">
        <f>COUNTIF($C$9:$AX$9,"learn-prog")*0.5</f>
        <v>0</v>
      </c>
      <c r="BG8" s="37">
        <f>COUNTIF($C$9:$AX$9,"En-book")*0.5</f>
        <v>0</v>
      </c>
      <c r="BH8" s="37">
        <f>COUNTIF($C$9:$AX$9,"En-listening")*0.5</f>
        <v>0</v>
      </c>
      <c r="BI8" s="37">
        <f>COUNTIF($C$9:$AX$9,"Run")*0.5</f>
        <v>0</v>
      </c>
      <c r="BJ8" s="37">
        <f>COUNTIF($C$9:$AX$9,"Gym")*0.5</f>
        <v>0</v>
      </c>
      <c r="BK8" s="37">
        <f>COUNTIF($C$9:$AX$9,"work")*0.5</f>
        <v>0</v>
      </c>
      <c r="BL8" s="37">
        <f>COUNTIF($C$9:$AX$9,"Meditation")*0.5</f>
        <v>0</v>
      </c>
      <c r="BM8" s="37">
        <f>COUNTIF($C$9:$AX$9,"Setar")*0.5</f>
        <v>0</v>
      </c>
      <c r="BN8" s="37">
        <f>COUNTIF($C$9:$AX$9,"Personal Tasks")*0.5</f>
        <v>0</v>
      </c>
      <c r="BO8" s="37">
        <f>COUNTIF($C$9:$AX$9,"Wasted Time")*0.5</f>
        <v>0</v>
      </c>
      <c r="BP8" s="37">
        <f>COUNTIF($C$9:$AX$9,"Sleep")*0.5</f>
        <v>0</v>
      </c>
      <c r="BQ8" s="38">
        <f t="shared" si="1"/>
        <v>0</v>
      </c>
      <c r="BR8" s="17"/>
    </row>
    <row r="9" ht="27.0" customHeight="1">
      <c r="A9" s="17"/>
      <c r="B9" s="39" t="str">
        <f>"Thursday"&amp;CHAR(10)&amp;TEXT(MONTH_START+3,"d mmm")</f>
        <v>Thursday
20 Aug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17"/>
      <c r="AZ9" s="29" t="s">
        <v>68</v>
      </c>
      <c r="BA9" s="30"/>
      <c r="BB9" s="25"/>
      <c r="BC9" s="17"/>
      <c r="BD9" s="41" t="s">
        <v>69</v>
      </c>
      <c r="BE9" s="37">
        <f>COUNTIF($C$10:$AX$10,"codding")*0.5</f>
        <v>0</v>
      </c>
      <c r="BF9" s="37">
        <f>COUNTIF($C$10:$AX$10,"learn-prog")*0.5</f>
        <v>0</v>
      </c>
      <c r="BG9" s="37">
        <f>COUNTIF($C$10:$AX$10,"En-book")*0.5</f>
        <v>0</v>
      </c>
      <c r="BH9" s="37">
        <f>COUNTIF($C$10:$AX$10,"En-listening")*0.5</f>
        <v>0</v>
      </c>
      <c r="BI9" s="37">
        <f>COUNTIF($C$10:$AX$10,"Run")*0.5</f>
        <v>0</v>
      </c>
      <c r="BJ9" s="37">
        <f>COUNTIF($C$10:$AX$10,"Gym")*0.5</f>
        <v>0</v>
      </c>
      <c r="BK9" s="37">
        <f>COUNTIF($C$10:$AX$10,"work")*0.5</f>
        <v>0</v>
      </c>
      <c r="BL9" s="37">
        <f>COUNTIF($C$10:$AX$10,"Meditation")*0.5</f>
        <v>0</v>
      </c>
      <c r="BM9" s="37">
        <f>COUNTIF($C$10:$AX$10,"Setar")*0.5</f>
        <v>0</v>
      </c>
      <c r="BN9" s="37">
        <f>COUNTIF($C$10:$AX$10,"Personal Tasks")*0.5</f>
        <v>0</v>
      </c>
      <c r="BO9" s="37">
        <f>COUNTIF($C$10:$AX$10,"Wasted Time")*0.5</f>
        <v>0</v>
      </c>
      <c r="BP9" s="37">
        <f>COUNTIF($C$10:$AX$10,"Sleep")*0.5</f>
        <v>0</v>
      </c>
      <c r="BQ9" s="38">
        <f t="shared" si="1"/>
        <v>0</v>
      </c>
      <c r="BR9" s="17"/>
    </row>
    <row r="10" ht="27.0" customHeight="1">
      <c r="A10" s="17"/>
      <c r="B10" s="42" t="str">
        <f>"Friday"&amp;CHAR(10)&amp;TEXT(MONTH_START+4,"d mmm")</f>
        <v>Friday
21 Aug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17"/>
      <c r="AZ10" s="34" t="b">
        <v>0</v>
      </c>
      <c r="BA10" s="35"/>
      <c r="BB10" s="35"/>
      <c r="BC10" s="17"/>
      <c r="BD10" s="36" t="s">
        <v>70</v>
      </c>
      <c r="BE10" s="37">
        <f>COUNTIF($C$11:$AX$11,"codding")*0.5</f>
        <v>0</v>
      </c>
      <c r="BF10" s="37">
        <f>COUNTIF($C$11:$AX$11,"learn-prog")*0.5</f>
        <v>0</v>
      </c>
      <c r="BG10" s="37">
        <f>COUNTIF($C$11:$AX$11,"En-book")*0.5</f>
        <v>0</v>
      </c>
      <c r="BH10" s="37">
        <f>COUNTIF($C$11:$AX$11,"En-listening")*0.5</f>
        <v>0</v>
      </c>
      <c r="BI10" s="37">
        <f>COUNTIF($C$11:$AX$11,"Run")*0.5</f>
        <v>0</v>
      </c>
      <c r="BJ10" s="37">
        <f>COUNTIF($C$11:$AX$11,"Gym")*0.5</f>
        <v>0</v>
      </c>
      <c r="BK10" s="37">
        <f>COUNTIF($C$11:$AX$11,"work")*0.5</f>
        <v>0</v>
      </c>
      <c r="BL10" s="37">
        <f>COUNTIF($C$11:$AX$11,"Meditation")*0.5</f>
        <v>0</v>
      </c>
      <c r="BM10" s="37">
        <f>COUNTIF($C$11:$AX$11,"Setar")*0.5</f>
        <v>0</v>
      </c>
      <c r="BN10" s="37">
        <f>COUNTIF($C$11:$AX$11,"Personal Tasks")*0.5</f>
        <v>0</v>
      </c>
      <c r="BO10" s="37">
        <f>COUNTIF($C$11:$AX$11,"Wasted Time")*0.5</f>
        <v>0</v>
      </c>
      <c r="BP10" s="37">
        <f>COUNTIF($C$11:$AX$11,"Sleep")*0.5</f>
        <v>0</v>
      </c>
      <c r="BQ10" s="38">
        <f t="shared" si="1"/>
        <v>0</v>
      </c>
      <c r="BR10" s="17"/>
    </row>
    <row r="11" ht="27.0" customHeight="1">
      <c r="A11" s="17"/>
      <c r="B11" s="39" t="str">
        <f>"Saturday"&amp;CHAR(10)&amp;TEXT(MONTH_START+5,"d mmm")</f>
        <v>Saturday
22 Aug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17"/>
      <c r="AZ11" s="34" t="b">
        <v>0</v>
      </c>
      <c r="BA11" s="35"/>
      <c r="BB11" s="35"/>
      <c r="BC11" s="17"/>
      <c r="BD11" s="36" t="s">
        <v>71</v>
      </c>
      <c r="BE11" s="37">
        <f>COUNTIF($C$12:$AX$12,"codding")*0.5</f>
        <v>0</v>
      </c>
      <c r="BF11" s="37">
        <f>COUNTIF($C$12:$AX$12,"learn-prog")*0.5</f>
        <v>0</v>
      </c>
      <c r="BG11" s="37">
        <f>COUNTIF($C$12:$AX$12,"En-book")*0.5</f>
        <v>0</v>
      </c>
      <c r="BH11" s="37">
        <f>COUNTIF($C$12:$AX$12,"En-listening")*0.5</f>
        <v>0</v>
      </c>
      <c r="BI11" s="37">
        <f>COUNTIF($C$12:$AX$12,"Run")*0.5</f>
        <v>0</v>
      </c>
      <c r="BJ11" s="37">
        <f>COUNTIF($C$12:$AX$12,"Gym")*0.5</f>
        <v>0</v>
      </c>
      <c r="BK11" s="37">
        <f>COUNTIF($C$12:$AX$12,"work")*0.5</f>
        <v>0</v>
      </c>
      <c r="BL11" s="37">
        <f>COUNTIF($C$12:$AX$12,"Meditation")*0.5</f>
        <v>0</v>
      </c>
      <c r="BM11" s="37">
        <f>COUNTIF($C$12:$AX$12,"Setar")*0.5</f>
        <v>0</v>
      </c>
      <c r="BN11" s="37">
        <f>COUNTIF($C$12:$AX$12,"Personal Tasks")*0.5</f>
        <v>0</v>
      </c>
      <c r="BO11" s="37">
        <f>COUNTIF($C$12:$AX$12,"Wasted Time")*0.5</f>
        <v>0</v>
      </c>
      <c r="BP11" s="37">
        <f>COUNTIF($C$12:$AX$12,"Sleep")*0.5</f>
        <v>0</v>
      </c>
      <c r="BQ11" s="38">
        <f t="shared" si="1"/>
        <v>0</v>
      </c>
      <c r="BR11" s="17"/>
    </row>
    <row r="12" ht="27.0" customHeight="1">
      <c r="A12" s="17"/>
      <c r="B12" s="39" t="str">
        <f>"Sunday"&amp;CHAR(10)&amp;TEXT(MONTH_START+6,"d mmm")</f>
        <v>Sunday
23 Aug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17"/>
      <c r="AZ12" s="34" t="b">
        <v>0</v>
      </c>
      <c r="BA12" s="35"/>
      <c r="BB12" s="35"/>
      <c r="BC12" s="17"/>
      <c r="BD12" s="43" t="s">
        <v>72</v>
      </c>
      <c r="BE12" s="44">
        <f t="shared" ref="BE12:BQ12" si="2">SUM(BE5:BE11)</f>
        <v>0</v>
      </c>
      <c r="BF12" s="44">
        <f t="shared" si="2"/>
        <v>0</v>
      </c>
      <c r="BG12" s="44">
        <f t="shared" si="2"/>
        <v>0</v>
      </c>
      <c r="BH12" s="44">
        <f t="shared" si="2"/>
        <v>0</v>
      </c>
      <c r="BI12" s="44">
        <f t="shared" si="2"/>
        <v>0</v>
      </c>
      <c r="BJ12" s="44">
        <f t="shared" si="2"/>
        <v>0</v>
      </c>
      <c r="BK12" s="44">
        <f t="shared" si="2"/>
        <v>0</v>
      </c>
      <c r="BL12" s="44">
        <f t="shared" si="2"/>
        <v>0</v>
      </c>
      <c r="BM12" s="44">
        <f t="shared" si="2"/>
        <v>0</v>
      </c>
      <c r="BN12" s="44">
        <f t="shared" si="2"/>
        <v>0</v>
      </c>
      <c r="BO12" s="44">
        <f t="shared" si="2"/>
        <v>0</v>
      </c>
      <c r="BP12" s="44">
        <f t="shared" si="2"/>
        <v>0</v>
      </c>
      <c r="BQ12" s="44">
        <f t="shared" si="2"/>
        <v>0</v>
      </c>
      <c r="BR12" s="17"/>
    </row>
    <row r="13" ht="18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34" t="b">
        <v>0</v>
      </c>
      <c r="BA13" s="35"/>
      <c r="BB13" s="35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</row>
    <row r="14" ht="22.5" customHeight="1">
      <c r="A14" s="17"/>
      <c r="B14" s="45" t="s">
        <v>73</v>
      </c>
      <c r="C14" s="46" t="s">
        <v>47</v>
      </c>
      <c r="G14" s="47" t="s">
        <v>49</v>
      </c>
      <c r="K14" s="48" t="s">
        <v>50</v>
      </c>
      <c r="O14" s="49" t="s">
        <v>51</v>
      </c>
      <c r="S14" s="50" t="s">
        <v>52</v>
      </c>
      <c r="W14" s="51" t="s">
        <v>53</v>
      </c>
      <c r="AA14" s="52" t="s">
        <v>54</v>
      </c>
      <c r="AE14" s="53" t="s">
        <v>55</v>
      </c>
      <c r="AI14" s="54" t="s">
        <v>56</v>
      </c>
      <c r="AM14" s="55" t="s">
        <v>57</v>
      </c>
      <c r="AQ14" s="56" t="s">
        <v>58</v>
      </c>
      <c r="AU14" s="57" t="s">
        <v>59</v>
      </c>
      <c r="AY14" s="17"/>
      <c r="AZ14" s="29" t="s">
        <v>74</v>
      </c>
      <c r="BA14" s="30"/>
      <c r="BB14" s="25"/>
      <c r="BC14" s="17"/>
      <c r="BD14" s="58" t="s">
        <v>75</v>
      </c>
      <c r="BR14" s="17"/>
    </row>
    <row r="15" ht="18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34" t="b">
        <v>0</v>
      </c>
      <c r="BA15" s="35"/>
      <c r="BB15" s="35"/>
      <c r="BC15" s="17"/>
      <c r="BD15" s="59" t="s">
        <v>76</v>
      </c>
      <c r="BH15" s="17"/>
      <c r="BI15" s="59" t="s">
        <v>77</v>
      </c>
      <c r="BL15" s="17"/>
      <c r="BM15" s="59" t="s">
        <v>78</v>
      </c>
      <c r="BQ15" s="17"/>
      <c r="BR15" s="17"/>
    </row>
    <row r="16" ht="22.5" customHeight="1">
      <c r="A16" s="17"/>
      <c r="B16" s="58" t="s">
        <v>79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34" t="b">
        <v>0</v>
      </c>
      <c r="BA16" s="35"/>
      <c r="BB16" s="35"/>
      <c r="BC16" s="17"/>
      <c r="BD16" s="60">
        <f t="array" ref="BD16">IF(AND(TODAY()&gt;=MONTH_START+0,TODAY()&lt;=MONTH_START+6),INDEX($BE$20:$BE$26,TODAY()-(MONTH_START+0)+1),"—")</f>
        <v>0</v>
      </c>
      <c r="BH16" s="17"/>
      <c r="BI16" s="60">
        <f>$BE$27</f>
        <v>0</v>
      </c>
      <c r="BL16" s="17"/>
      <c r="BM16" s="60">
        <f>$BE$28</f>
        <v>0</v>
      </c>
      <c r="BQ16" s="17"/>
      <c r="BR16" s="17"/>
    </row>
    <row r="17">
      <c r="A17" s="17"/>
      <c r="B17" s="61" t="s">
        <v>0</v>
      </c>
      <c r="C17" s="30"/>
      <c r="D17" s="30"/>
      <c r="E17" s="25"/>
      <c r="F17" s="61" t="s">
        <v>80</v>
      </c>
      <c r="G17" s="30"/>
      <c r="H17" s="25"/>
      <c r="I17" s="61" t="s">
        <v>81</v>
      </c>
      <c r="J17" s="30"/>
      <c r="K17" s="25"/>
      <c r="L17" s="61" t="s">
        <v>82</v>
      </c>
      <c r="M17" s="30"/>
      <c r="N17" s="30"/>
      <c r="O17" s="30"/>
      <c r="P17" s="30"/>
      <c r="Q17" s="30"/>
      <c r="R17" s="25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34" t="b">
        <v>0</v>
      </c>
      <c r="BA17" s="35"/>
      <c r="BB17" s="35"/>
      <c r="BC17" s="17"/>
      <c r="BH17" s="17"/>
      <c r="BL17" s="17"/>
      <c r="BQ17" s="17"/>
      <c r="BR17" s="17"/>
    </row>
    <row r="18" ht="18.0" customHeight="1">
      <c r="A18" s="17"/>
      <c r="B18" s="62" t="s">
        <v>47</v>
      </c>
      <c r="C18" s="30"/>
      <c r="D18" s="30"/>
      <c r="E18" s="25"/>
      <c r="F18" s="63">
        <f>COUNTIF($C$6:$AX$12,"codding")*0.5</f>
        <v>0</v>
      </c>
      <c r="G18" s="30"/>
      <c r="H18" s="25"/>
      <c r="I18" s="64">
        <f>$F$18/168</f>
        <v>0</v>
      </c>
      <c r="J18" s="30"/>
      <c r="K18" s="25"/>
      <c r="L18" s="65" t="str">
        <f>IFERROR(__xludf.DUMMYFUNCTION("IFERROR(SPARKLINE($F$18,{""charttype"",""bar"";""max"",MAX($F$18:$F$29)+0.0001;""color1"",""#057c31""}),"""")"),"")</f>
        <v/>
      </c>
      <c r="M18" s="30"/>
      <c r="N18" s="30"/>
      <c r="O18" s="30"/>
      <c r="P18" s="30"/>
      <c r="Q18" s="30"/>
      <c r="R18" s="25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34" t="b">
        <v>0</v>
      </c>
      <c r="BA18" s="35"/>
      <c r="BB18" s="35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</row>
    <row r="19" ht="18.0" customHeight="1">
      <c r="A19" s="17"/>
      <c r="B19" s="62" t="s">
        <v>49</v>
      </c>
      <c r="C19" s="30"/>
      <c r="D19" s="30"/>
      <c r="E19" s="25"/>
      <c r="F19" s="63">
        <f>COUNTIF($C$6:$AX$12,"learn-prog")*0.5</f>
        <v>0</v>
      </c>
      <c r="G19" s="30"/>
      <c r="H19" s="25"/>
      <c r="I19" s="64">
        <f>$F$19/168</f>
        <v>0</v>
      </c>
      <c r="J19" s="30"/>
      <c r="K19" s="25"/>
      <c r="L19" s="65" t="str">
        <f>IFERROR(__xludf.DUMMYFUNCTION("IFERROR(SPARKLINE($F$19,{""charttype"",""bar"";""max"",MAX($F$18:$F$29)+0.0001;""color1"",""#86EFAC""}),"""")"),"")</f>
        <v/>
      </c>
      <c r="M19" s="30"/>
      <c r="N19" s="30"/>
      <c r="O19" s="30"/>
      <c r="P19" s="30"/>
      <c r="Q19" s="30"/>
      <c r="R19" s="25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29" t="s">
        <v>83</v>
      </c>
      <c r="BA19" s="30"/>
      <c r="BB19" s="25"/>
      <c r="BC19" s="17"/>
      <c r="BD19" s="66" t="s">
        <v>46</v>
      </c>
      <c r="BE19" s="66" t="s">
        <v>84</v>
      </c>
      <c r="BF19" s="67" t="s">
        <v>85</v>
      </c>
      <c r="BG19" s="30"/>
      <c r="BH19" s="25"/>
      <c r="BI19" s="17"/>
      <c r="BJ19" s="17"/>
      <c r="BK19" s="17"/>
      <c r="BL19" s="17"/>
      <c r="BM19" s="17"/>
      <c r="BN19" s="17"/>
      <c r="BO19" s="17"/>
      <c r="BP19" s="17"/>
      <c r="BQ19" s="17"/>
      <c r="BR19" s="17"/>
    </row>
    <row r="20" ht="18.0" customHeight="1">
      <c r="A20" s="17"/>
      <c r="B20" s="62" t="s">
        <v>50</v>
      </c>
      <c r="C20" s="30"/>
      <c r="D20" s="30"/>
      <c r="E20" s="25"/>
      <c r="F20" s="63">
        <f>COUNTIF($C$6:$AX$12,"En-book")*0.5</f>
        <v>0</v>
      </c>
      <c r="G20" s="30"/>
      <c r="H20" s="25"/>
      <c r="I20" s="64">
        <f>$F$20/168</f>
        <v>0</v>
      </c>
      <c r="J20" s="30"/>
      <c r="K20" s="25"/>
      <c r="L20" s="65" t="str">
        <f>IFERROR(__xludf.DUMMYFUNCTION("IFERROR(SPARKLINE($F$20,{""charttype"",""bar"";""max"",MAX($F$18:$F$29)+0.0001;""color1"",""#2563EB""}),"""")"),"")</f>
        <v/>
      </c>
      <c r="M20" s="30"/>
      <c r="N20" s="30"/>
      <c r="O20" s="30"/>
      <c r="P20" s="30"/>
      <c r="Q20" s="30"/>
      <c r="R20" s="25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34" t="b">
        <v>0</v>
      </c>
      <c r="BA20" s="35"/>
      <c r="BB20" s="35"/>
      <c r="BC20" s="17"/>
      <c r="BD20" s="36" t="s">
        <v>62</v>
      </c>
      <c r="BE20" s="38">
        <f t="shared" ref="BE20:BE26" si="3">SUM(BE5:BK5)</f>
        <v>0</v>
      </c>
      <c r="BF20" s="65" t="str">
        <f>IFERROR(__xludf.DUMMYFUNCTION("IFERROR(SPARKLINE($BE20,{""charttype"",""bar"";""max"",MAX($BE$20:$BE$26)+0.0001;""color1"",""#0D9488""}),"""")"),"")</f>
        <v/>
      </c>
      <c r="BG20" s="30"/>
      <c r="BH20" s="25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 ht="18.0" customHeight="1">
      <c r="A21" s="17"/>
      <c r="B21" s="62" t="s">
        <v>51</v>
      </c>
      <c r="C21" s="30"/>
      <c r="D21" s="30"/>
      <c r="E21" s="25"/>
      <c r="F21" s="63">
        <f>COUNTIF($C$6:$AX$12,"En-listening")*0.5</f>
        <v>0</v>
      </c>
      <c r="G21" s="30"/>
      <c r="H21" s="25"/>
      <c r="I21" s="64">
        <f>$F$21/168</f>
        <v>0</v>
      </c>
      <c r="J21" s="30"/>
      <c r="K21" s="25"/>
      <c r="L21" s="65" t="str">
        <f>IFERROR(__xludf.DUMMYFUNCTION("IFERROR(SPARKLINE($F$21,{""charttype"",""bar"";""max"",MAX($F$18:$F$29)+0.0001;""color1"",""#93C5FD""}),"""")"),"")</f>
        <v/>
      </c>
      <c r="M21" s="30"/>
      <c r="N21" s="30"/>
      <c r="O21" s="30"/>
      <c r="P21" s="30"/>
      <c r="Q21" s="30"/>
      <c r="R21" s="25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34" t="b">
        <v>0</v>
      </c>
      <c r="BA21" s="35"/>
      <c r="BB21" s="35"/>
      <c r="BC21" s="17"/>
      <c r="BD21" s="36" t="s">
        <v>65</v>
      </c>
      <c r="BE21" s="38">
        <f t="shared" si="3"/>
        <v>0</v>
      </c>
      <c r="BF21" s="65" t="str">
        <f>IFERROR(__xludf.DUMMYFUNCTION("IFERROR(SPARKLINE($BE21,{""charttype"",""bar"";""max"",MAX($BE$20:$BE$26)+0.0001;""color1"",""#0D9488""}),"""")"),"")</f>
        <v/>
      </c>
      <c r="BG21" s="30"/>
      <c r="BH21" s="25"/>
      <c r="BI21" s="17"/>
      <c r="BJ21" s="17"/>
      <c r="BK21" s="17"/>
      <c r="BL21" s="17"/>
      <c r="BM21" s="17"/>
      <c r="BN21" s="17"/>
      <c r="BO21" s="17"/>
      <c r="BP21" s="17"/>
      <c r="BQ21" s="17"/>
      <c r="BR21" s="17"/>
    </row>
    <row r="22" ht="18.0" customHeight="1">
      <c r="A22" s="17"/>
      <c r="B22" s="62" t="s">
        <v>52</v>
      </c>
      <c r="C22" s="30"/>
      <c r="D22" s="30"/>
      <c r="E22" s="25"/>
      <c r="F22" s="63">
        <f>COUNTIF($C$6:$AX$12,"Run")*0.5</f>
        <v>0</v>
      </c>
      <c r="G22" s="30"/>
      <c r="H22" s="25"/>
      <c r="I22" s="64">
        <f>$F$22/168</f>
        <v>0</v>
      </c>
      <c r="J22" s="30"/>
      <c r="K22" s="25"/>
      <c r="L22" s="65" t="str">
        <f>IFERROR(__xludf.DUMMYFUNCTION("IFERROR(SPARKLINE($F$22,{""charttype"",""bar"";""max"",MAX($F$18:$F$29)+0.0001;""color1"",""#EA580C""}),"""")"),"")</f>
        <v/>
      </c>
      <c r="M22" s="30"/>
      <c r="N22" s="30"/>
      <c r="O22" s="30"/>
      <c r="P22" s="30"/>
      <c r="Q22" s="30"/>
      <c r="R22" s="25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34" t="b">
        <v>0</v>
      </c>
      <c r="BA22" s="35"/>
      <c r="BB22" s="35"/>
      <c r="BC22" s="17"/>
      <c r="BD22" s="36" t="s">
        <v>66</v>
      </c>
      <c r="BE22" s="38">
        <f t="shared" si="3"/>
        <v>0</v>
      </c>
      <c r="BF22" s="65" t="str">
        <f>IFERROR(__xludf.DUMMYFUNCTION("IFERROR(SPARKLINE($BE22,{""charttype"",""bar"";""max"",MAX($BE$20:$BE$26)+0.0001;""color1"",""#0D9488""}),"""")"),"")</f>
        <v/>
      </c>
      <c r="BG22" s="30"/>
      <c r="BH22" s="25"/>
      <c r="BI22" s="17"/>
      <c r="BJ22" s="17"/>
      <c r="BK22" s="17"/>
      <c r="BL22" s="17"/>
      <c r="BM22" s="17"/>
      <c r="BN22" s="17"/>
      <c r="BO22" s="17"/>
      <c r="BP22" s="17"/>
      <c r="BQ22" s="17"/>
      <c r="BR22" s="17"/>
    </row>
    <row r="23" ht="18.0" customHeight="1">
      <c r="A23" s="17"/>
      <c r="B23" s="62" t="s">
        <v>53</v>
      </c>
      <c r="C23" s="30"/>
      <c r="D23" s="30"/>
      <c r="E23" s="25"/>
      <c r="F23" s="63">
        <f>COUNTIF($C$6:$AX$12,"Gym")*0.5</f>
        <v>0</v>
      </c>
      <c r="G23" s="30"/>
      <c r="H23" s="25"/>
      <c r="I23" s="64">
        <f>$F$23/168</f>
        <v>0</v>
      </c>
      <c r="J23" s="30"/>
      <c r="K23" s="25"/>
      <c r="L23" s="65" t="str">
        <f>IFERROR(__xludf.DUMMYFUNCTION("IFERROR(SPARKLINE($F$23,{""charttype"",""bar"";""max"",MAX($F$18:$F$29)+0.0001;""color1"",""#FDBA74""}),"""")"),"")</f>
        <v/>
      </c>
      <c r="M23" s="30"/>
      <c r="N23" s="30"/>
      <c r="O23" s="30"/>
      <c r="P23" s="30"/>
      <c r="Q23" s="30"/>
      <c r="R23" s="25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34" t="b">
        <v>0</v>
      </c>
      <c r="BA23" s="35"/>
      <c r="BB23" s="35"/>
      <c r="BC23" s="17"/>
      <c r="BD23" s="36" t="s">
        <v>67</v>
      </c>
      <c r="BE23" s="38">
        <f t="shared" si="3"/>
        <v>0</v>
      </c>
      <c r="BF23" s="65" t="str">
        <f>IFERROR(__xludf.DUMMYFUNCTION("IFERROR(SPARKLINE($BE23,{""charttype"",""bar"";""max"",MAX($BE$20:$BE$26)+0.0001;""color1"",""#0D9488""}),"""")"),"")</f>
        <v/>
      </c>
      <c r="BG23" s="30"/>
      <c r="BH23" s="25"/>
      <c r="BI23" s="17"/>
      <c r="BJ23" s="17"/>
      <c r="BK23" s="17"/>
      <c r="BL23" s="17"/>
      <c r="BM23" s="17"/>
      <c r="BN23" s="17"/>
      <c r="BO23" s="17"/>
      <c r="BP23" s="17"/>
      <c r="BQ23" s="17"/>
      <c r="BR23" s="17"/>
    </row>
    <row r="24" ht="18.0" customHeight="1">
      <c r="A24" s="17"/>
      <c r="B24" s="62" t="s">
        <v>54</v>
      </c>
      <c r="C24" s="30"/>
      <c r="D24" s="30"/>
      <c r="E24" s="25"/>
      <c r="F24" s="63">
        <f>COUNTIF($C$6:$AX$12,"work")*0.5</f>
        <v>0</v>
      </c>
      <c r="G24" s="30"/>
      <c r="H24" s="25"/>
      <c r="I24" s="64">
        <f>$F$24/168</f>
        <v>0</v>
      </c>
      <c r="J24" s="30"/>
      <c r="K24" s="25"/>
      <c r="L24" s="65" t="str">
        <f>IFERROR(__xludf.DUMMYFUNCTION("IFERROR(SPARKLINE($F$24,{""charttype"",""bar"";""max"",MAX($F$18:$F$29)+0.0001;""color1"",""#89fd05""}),"""")"),"")</f>
        <v/>
      </c>
      <c r="M24" s="30"/>
      <c r="N24" s="30"/>
      <c r="O24" s="30"/>
      <c r="P24" s="30"/>
      <c r="Q24" s="30"/>
      <c r="R24" s="25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8" t="s">
        <v>86</v>
      </c>
      <c r="BA24" s="30"/>
      <c r="BB24" s="25"/>
      <c r="BC24" s="17"/>
      <c r="BD24" s="41" t="s">
        <v>69</v>
      </c>
      <c r="BE24" s="38">
        <f t="shared" si="3"/>
        <v>0</v>
      </c>
      <c r="BF24" s="65" t="str">
        <f>IFERROR(__xludf.DUMMYFUNCTION("IFERROR(SPARKLINE($BE24,{""charttype"",""bar"";""max"",MAX($BE$20:$BE$26)+0.0001;""color1"",""#0D9488""}),"""")"),"")</f>
        <v/>
      </c>
      <c r="BG24" s="30"/>
      <c r="BH24" s="25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ht="18.0" customHeight="1">
      <c r="A25" s="17"/>
      <c r="B25" s="62" t="s">
        <v>55</v>
      </c>
      <c r="C25" s="30"/>
      <c r="D25" s="30"/>
      <c r="E25" s="25"/>
      <c r="F25" s="63">
        <f>COUNTIF($C$6:$AX$12,"Meditation")*0.5</f>
        <v>0</v>
      </c>
      <c r="G25" s="30"/>
      <c r="H25" s="25"/>
      <c r="I25" s="64">
        <f>$F$25/168</f>
        <v>0</v>
      </c>
      <c r="J25" s="30"/>
      <c r="K25" s="25"/>
      <c r="L25" s="65" t="str">
        <f>IFERROR(__xludf.DUMMYFUNCTION("IFERROR(SPARKLINE($F$25,{""charttype"",""bar"";""max"",MAX($F$18:$F$29)+0.0001;""color1"",""#8e029b""}),"""")"),"")</f>
        <v/>
      </c>
      <c r="M25" s="30"/>
      <c r="N25" s="30"/>
      <c r="O25" s="30"/>
      <c r="P25" s="30"/>
      <c r="Q25" s="30"/>
      <c r="R25" s="25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34" t="b">
        <v>0</v>
      </c>
      <c r="BA25" s="35"/>
      <c r="BB25" s="35"/>
      <c r="BC25" s="17"/>
      <c r="BD25" s="36" t="s">
        <v>70</v>
      </c>
      <c r="BE25" s="38">
        <f t="shared" si="3"/>
        <v>0</v>
      </c>
      <c r="BF25" s="65" t="str">
        <f>IFERROR(__xludf.DUMMYFUNCTION("IFERROR(SPARKLINE($BE25,{""charttype"",""bar"";""max"",MAX($BE$20:$BE$26)+0.0001;""color1"",""#0D9488""}),"""")"),"")</f>
        <v/>
      </c>
      <c r="BG25" s="30"/>
      <c r="BH25" s="25"/>
      <c r="BI25" s="17"/>
      <c r="BJ25" s="17"/>
      <c r="BK25" s="17"/>
      <c r="BL25" s="17"/>
      <c r="BM25" s="17"/>
      <c r="BN25" s="17"/>
      <c r="BO25" s="17"/>
      <c r="BP25" s="17"/>
      <c r="BQ25" s="17"/>
      <c r="BR25" s="17"/>
    </row>
    <row r="26" ht="18.0" customHeight="1">
      <c r="A26" s="17"/>
      <c r="B26" s="62" t="s">
        <v>56</v>
      </c>
      <c r="C26" s="30"/>
      <c r="D26" s="30"/>
      <c r="E26" s="25"/>
      <c r="F26" s="63">
        <f>COUNTIF($C$6:$AX$12,"Setar")*0.5</f>
        <v>0</v>
      </c>
      <c r="G26" s="30"/>
      <c r="H26" s="25"/>
      <c r="I26" s="64">
        <f>$F$26/168</f>
        <v>0</v>
      </c>
      <c r="J26" s="30"/>
      <c r="K26" s="25"/>
      <c r="L26" s="65" t="str">
        <f>IFERROR(__xludf.DUMMYFUNCTION("IFERROR(SPARKLINE($F$26,{""charttype"",""bar"";""max"",MAX($F$18:$F$29)+0.0001;""color1"",""#da87de""}),"""")"),"")</f>
        <v/>
      </c>
      <c r="M26" s="30"/>
      <c r="N26" s="30"/>
      <c r="O26" s="30"/>
      <c r="P26" s="30"/>
      <c r="Q26" s="30"/>
      <c r="R26" s="25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34" t="b">
        <v>0</v>
      </c>
      <c r="BA26" s="35"/>
      <c r="BB26" s="35"/>
      <c r="BC26" s="17"/>
      <c r="BD26" s="36" t="s">
        <v>71</v>
      </c>
      <c r="BE26" s="38">
        <f t="shared" si="3"/>
        <v>0</v>
      </c>
      <c r="BF26" s="65" t="str">
        <f>IFERROR(__xludf.DUMMYFUNCTION("IFERROR(SPARKLINE($BE26,{""charttype"",""bar"";""max"",MAX($BE$20:$BE$26)+0.0001;""color1"",""#0D9488""}),"""")"),"")</f>
        <v/>
      </c>
      <c r="BG26" s="30"/>
      <c r="BH26" s="25"/>
      <c r="BI26" s="17"/>
      <c r="BJ26" s="17"/>
      <c r="BK26" s="17"/>
      <c r="BL26" s="17"/>
      <c r="BM26" s="17"/>
      <c r="BN26" s="17"/>
      <c r="BO26" s="17"/>
      <c r="BP26" s="17"/>
      <c r="BQ26" s="17"/>
      <c r="BR26" s="17"/>
    </row>
    <row r="27" ht="18.0" customHeight="1">
      <c r="A27" s="17"/>
      <c r="B27" s="62" t="s">
        <v>57</v>
      </c>
      <c r="C27" s="30"/>
      <c r="D27" s="30"/>
      <c r="E27" s="25"/>
      <c r="F27" s="63">
        <f>COUNTIF($C$6:$AX$12,"Personal Tasks")*0.5</f>
        <v>0</v>
      </c>
      <c r="G27" s="30"/>
      <c r="H27" s="25"/>
      <c r="I27" s="64">
        <f>$F$27/168</f>
        <v>0</v>
      </c>
      <c r="J27" s="30"/>
      <c r="K27" s="25"/>
      <c r="L27" s="65" t="str">
        <f>IFERROR(__xludf.DUMMYFUNCTION("IFERROR(SPARKLINE($F$27,{""charttype"",""bar"";""max"",MAX($F$18:$F$29)+0.0001;""color1"",""#eeeeee""}),"""")"),"")</f>
        <v/>
      </c>
      <c r="M27" s="30"/>
      <c r="N27" s="30"/>
      <c r="O27" s="30"/>
      <c r="P27" s="30"/>
      <c r="Q27" s="30"/>
      <c r="R27" s="25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34" t="b">
        <v>0</v>
      </c>
      <c r="BA27" s="35"/>
      <c r="BB27" s="35"/>
      <c r="BC27" s="17"/>
      <c r="BD27" s="43" t="s">
        <v>72</v>
      </c>
      <c r="BE27" s="44">
        <f>SUM(BE20:BE26)</f>
        <v>0</v>
      </c>
      <c r="BF27" s="69"/>
      <c r="BG27" s="30"/>
      <c r="BH27" s="25"/>
      <c r="BI27" s="17"/>
      <c r="BJ27" s="17"/>
      <c r="BK27" s="17"/>
      <c r="BL27" s="17"/>
      <c r="BM27" s="17"/>
      <c r="BN27" s="17"/>
      <c r="BO27" s="17"/>
      <c r="BP27" s="17"/>
      <c r="BQ27" s="17"/>
      <c r="BR27" s="17"/>
    </row>
    <row r="28" ht="18.0" customHeight="1">
      <c r="A28" s="17"/>
      <c r="B28" s="62" t="s">
        <v>58</v>
      </c>
      <c r="C28" s="30"/>
      <c r="D28" s="30"/>
      <c r="E28" s="25"/>
      <c r="F28" s="63">
        <f>COUNTIF($C$6:$AX$12,"Wasted Time")*0.5</f>
        <v>0</v>
      </c>
      <c r="G28" s="30"/>
      <c r="H28" s="25"/>
      <c r="I28" s="64">
        <f>$F$28/168</f>
        <v>0</v>
      </c>
      <c r="J28" s="30"/>
      <c r="K28" s="25"/>
      <c r="L28" s="65" t="str">
        <f>IFERROR(__xludf.DUMMYFUNCTION("IFERROR(SPARKLINE($F$28,{""charttype"",""bar"";""max"",MAX($F$18:$F$29)+0.0001;""color1"",""#ff1500""}),"""")"),"")</f>
        <v/>
      </c>
      <c r="M28" s="30"/>
      <c r="N28" s="30"/>
      <c r="O28" s="30"/>
      <c r="P28" s="30"/>
      <c r="Q28" s="30"/>
      <c r="R28" s="25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34" t="b">
        <v>0</v>
      </c>
      <c r="BA28" s="35"/>
      <c r="BB28" s="35"/>
      <c r="BC28" s="17"/>
      <c r="BD28" s="70" t="s">
        <v>87</v>
      </c>
      <c r="BE28" s="71">
        <f>BE27/7</f>
        <v>0</v>
      </c>
      <c r="BF28" s="72"/>
      <c r="BG28" s="30"/>
      <c r="BH28" s="25"/>
      <c r="BI28" s="17"/>
      <c r="BJ28" s="17"/>
      <c r="BK28" s="17"/>
      <c r="BL28" s="17"/>
      <c r="BM28" s="17"/>
      <c r="BN28" s="17"/>
      <c r="BO28" s="17"/>
      <c r="BP28" s="17"/>
      <c r="BQ28" s="17"/>
      <c r="BR28" s="17"/>
    </row>
    <row r="29" ht="18.0" customHeight="1">
      <c r="A29" s="17"/>
      <c r="B29" s="62" t="s">
        <v>59</v>
      </c>
      <c r="C29" s="30"/>
      <c r="D29" s="30"/>
      <c r="E29" s="25"/>
      <c r="F29" s="63">
        <f>COUNTIF($C$6:$AX$12,"Sleep")*0.5</f>
        <v>0</v>
      </c>
      <c r="G29" s="30"/>
      <c r="H29" s="25"/>
      <c r="I29" s="64">
        <f>$F$29/168</f>
        <v>0</v>
      </c>
      <c r="J29" s="30"/>
      <c r="K29" s="25"/>
      <c r="L29" s="65" t="str">
        <f>IFERROR(__xludf.DUMMYFUNCTION("IFERROR(SPARKLINE($F$29,{""charttype"",""bar"";""max"",MAX($F$18:$F$29)+0.0001;""color1"",""#4e4d44""}),"""")"),"")</f>
        <v/>
      </c>
      <c r="M29" s="30"/>
      <c r="N29" s="30"/>
      <c r="O29" s="30"/>
      <c r="P29" s="30"/>
      <c r="Q29" s="30"/>
      <c r="R29" s="25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29" t="s">
        <v>88</v>
      </c>
      <c r="BA29" s="30"/>
      <c r="BB29" s="25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</row>
    <row r="30" ht="22.5" customHeight="1">
      <c r="A30" s="17"/>
      <c r="B30" s="73" t="s">
        <v>89</v>
      </c>
      <c r="C30" s="30"/>
      <c r="D30" s="30"/>
      <c r="E30" s="25"/>
      <c r="F30" s="74">
        <f>SUM($F$18:$F$29)</f>
        <v>0</v>
      </c>
      <c r="G30" s="30"/>
      <c r="H30" s="25"/>
      <c r="I30" s="75">
        <f>$F$30/168</f>
        <v>0</v>
      </c>
      <c r="J30" s="30"/>
      <c r="K30" s="25"/>
      <c r="L30" s="69"/>
      <c r="M30" s="30"/>
      <c r="N30" s="30"/>
      <c r="O30" s="30"/>
      <c r="P30" s="30"/>
      <c r="Q30" s="30"/>
      <c r="R30" s="25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34" t="b">
        <v>0</v>
      </c>
      <c r="BA30" s="35"/>
      <c r="BB30" s="35"/>
      <c r="BC30" s="17"/>
      <c r="BD30" s="58" t="s">
        <v>90</v>
      </c>
      <c r="BM30" s="17"/>
      <c r="BN30" s="17"/>
      <c r="BO30" s="17"/>
      <c r="BP30" s="17"/>
      <c r="BQ30" s="17"/>
      <c r="BR30" s="17"/>
    </row>
    <row r="31" ht="18.0" customHeight="1">
      <c r="A31" s="17"/>
      <c r="B31" s="76" t="s">
        <v>91</v>
      </c>
      <c r="C31" s="30"/>
      <c r="D31" s="30"/>
      <c r="E31" s="25"/>
      <c r="F31" s="77">
        <f>168-$F$30</f>
        <v>168</v>
      </c>
      <c r="G31" s="30"/>
      <c r="H31" s="25"/>
      <c r="I31" s="64">
        <f>$F$31/168</f>
        <v>1</v>
      </c>
      <c r="J31" s="30"/>
      <c r="K31" s="25"/>
      <c r="L31" s="72"/>
      <c r="M31" s="30"/>
      <c r="N31" s="30"/>
      <c r="O31" s="30"/>
      <c r="P31" s="30"/>
      <c r="Q31" s="30"/>
      <c r="R31" s="25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34" t="b">
        <v>0</v>
      </c>
      <c r="BA31" s="35"/>
      <c r="BB31" s="35"/>
      <c r="BC31" s="17"/>
      <c r="BD31" s="31" t="s">
        <v>92</v>
      </c>
      <c r="BE31" s="31" t="s">
        <v>62</v>
      </c>
      <c r="BF31" s="31" t="s">
        <v>65</v>
      </c>
      <c r="BG31" s="31" t="s">
        <v>66</v>
      </c>
      <c r="BH31" s="31" t="s">
        <v>67</v>
      </c>
      <c r="BI31" s="31" t="s">
        <v>69</v>
      </c>
      <c r="BJ31" s="31" t="s">
        <v>70</v>
      </c>
      <c r="BK31" s="31" t="s">
        <v>71</v>
      </c>
      <c r="BL31" s="31" t="s">
        <v>93</v>
      </c>
      <c r="BM31" s="17"/>
      <c r="BN31" s="17"/>
      <c r="BO31" s="17"/>
      <c r="BP31" s="17"/>
      <c r="BQ31" s="17"/>
      <c r="B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34" t="b">
        <v>0</v>
      </c>
      <c r="BA32" s="35"/>
      <c r="BB32" s="35"/>
      <c r="BC32" s="17"/>
      <c r="BD32" s="78" t="s">
        <v>94</v>
      </c>
      <c r="BE32" s="79"/>
      <c r="BF32" s="79"/>
      <c r="BG32" s="79"/>
      <c r="BH32" s="79"/>
      <c r="BI32" s="79"/>
      <c r="BJ32" s="79"/>
      <c r="BK32" s="79"/>
      <c r="BL32" s="80" t="str">
        <f t="shared" ref="BL32:BL38" si="4">IFERROR(AVERAGE(BE32:BK32),"—")</f>
        <v>—</v>
      </c>
      <c r="BM32" s="17"/>
      <c r="BN32" s="17"/>
      <c r="BO32" s="17"/>
      <c r="BP32" s="17"/>
      <c r="BQ32" s="17"/>
      <c r="BR32" s="17"/>
    </row>
    <row r="33" ht="22.5" customHeight="1">
      <c r="A33" s="17"/>
      <c r="B33" s="58" t="s">
        <v>95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34" t="b">
        <v>0</v>
      </c>
      <c r="BA33" s="35"/>
      <c r="BB33" s="35"/>
      <c r="BC33" s="17"/>
      <c r="BD33" s="78" t="s">
        <v>96</v>
      </c>
      <c r="BE33" s="81"/>
      <c r="BF33" s="81"/>
      <c r="BG33" s="81"/>
      <c r="BH33" s="81"/>
      <c r="BI33" s="81"/>
      <c r="BJ33" s="81"/>
      <c r="BK33" s="81"/>
      <c r="BL33" s="82" t="str">
        <f t="shared" si="4"/>
        <v>—</v>
      </c>
      <c r="BM33" s="17"/>
      <c r="BN33" s="17"/>
      <c r="BO33" s="17"/>
      <c r="BP33" s="17"/>
      <c r="BQ33" s="17"/>
      <c r="BR33" s="17"/>
    </row>
    <row r="34">
      <c r="A34" s="17"/>
      <c r="B34" s="61" t="s">
        <v>97</v>
      </c>
      <c r="C34" s="30"/>
      <c r="D34" s="30"/>
      <c r="E34" s="25"/>
      <c r="F34" s="61" t="s">
        <v>80</v>
      </c>
      <c r="G34" s="30"/>
      <c r="H34" s="25"/>
      <c r="I34" s="61" t="s">
        <v>81</v>
      </c>
      <c r="J34" s="30"/>
      <c r="K34" s="25"/>
      <c r="L34" s="61" t="s">
        <v>82</v>
      </c>
      <c r="M34" s="30"/>
      <c r="N34" s="30"/>
      <c r="O34" s="30"/>
      <c r="P34" s="30"/>
      <c r="Q34" s="30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29" t="s">
        <v>98</v>
      </c>
      <c r="BA34" s="30"/>
      <c r="BB34" s="25"/>
      <c r="BC34" s="17"/>
      <c r="BD34" s="78" t="s">
        <v>99</v>
      </c>
      <c r="BE34" s="83"/>
      <c r="BF34" s="83"/>
      <c r="BG34" s="83"/>
      <c r="BH34" s="83"/>
      <c r="BI34" s="83"/>
      <c r="BJ34" s="83"/>
      <c r="BK34" s="83"/>
      <c r="BL34" s="84" t="str">
        <f t="shared" si="4"/>
        <v>—</v>
      </c>
      <c r="BM34" s="17"/>
      <c r="BN34" s="17"/>
      <c r="BO34" s="17"/>
      <c r="BP34" s="17"/>
      <c r="BQ34" s="17"/>
      <c r="BR34" s="17"/>
    </row>
    <row r="35" ht="18.0" customHeight="1">
      <c r="A35" s="17"/>
      <c r="B35" s="62" t="s">
        <v>100</v>
      </c>
      <c r="C35" s="30"/>
      <c r="D35" s="30"/>
      <c r="E35" s="25"/>
      <c r="F35" s="63">
        <f>F18+F19</f>
        <v>0</v>
      </c>
      <c r="G35" s="30"/>
      <c r="H35" s="25"/>
      <c r="I35" s="64">
        <f>$F$35/168</f>
        <v>0</v>
      </c>
      <c r="J35" s="30"/>
      <c r="K35" s="25"/>
      <c r="L35" s="65" t="str">
        <f>IFERROR(__xludf.DUMMYFUNCTION("IFERROR(SPARKLINE($F$35,{""charttype"",""bar"";""max"",MAX($F$35:$F$42)+0.0001;""color1"",""#057c31""}),"""")"),"")</f>
        <v/>
      </c>
      <c r="M35" s="30"/>
      <c r="N35" s="30"/>
      <c r="O35" s="30"/>
      <c r="P35" s="30"/>
      <c r="Q35" s="30"/>
      <c r="R35" s="25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34" t="b">
        <v>0</v>
      </c>
      <c r="BA35" s="35"/>
      <c r="BB35" s="35"/>
      <c r="BC35" s="17"/>
      <c r="BD35" s="78" t="s">
        <v>101</v>
      </c>
      <c r="BE35" s="85"/>
      <c r="BF35" s="85"/>
      <c r="BG35" s="85"/>
      <c r="BH35" s="85"/>
      <c r="BI35" s="85"/>
      <c r="BJ35" s="85"/>
      <c r="BK35" s="85"/>
      <c r="BL35" s="86" t="str">
        <f t="shared" si="4"/>
        <v>—</v>
      </c>
      <c r="BM35" s="17"/>
      <c r="BN35" s="17"/>
      <c r="BO35" s="17"/>
      <c r="BP35" s="17"/>
      <c r="BQ35" s="17"/>
      <c r="BR35" s="17"/>
    </row>
    <row r="36" ht="18.0" customHeight="1">
      <c r="A36" s="17"/>
      <c r="B36" s="62" t="s">
        <v>102</v>
      </c>
      <c r="C36" s="30"/>
      <c r="D36" s="30"/>
      <c r="E36" s="25"/>
      <c r="F36" s="63">
        <f>F20+F21</f>
        <v>0</v>
      </c>
      <c r="G36" s="30"/>
      <c r="H36" s="25"/>
      <c r="I36" s="64">
        <f>$F$36/168</f>
        <v>0</v>
      </c>
      <c r="J36" s="30"/>
      <c r="K36" s="25"/>
      <c r="L36" s="65" t="str">
        <f>IFERROR(__xludf.DUMMYFUNCTION("IFERROR(SPARKLINE($F$36,{""charttype"",""bar"";""max"",MAX($F$35:$F$42)+0.0001;""color1"",""#2563EB""}),"""")"),"")</f>
        <v/>
      </c>
      <c r="M36" s="30"/>
      <c r="N36" s="30"/>
      <c r="O36" s="30"/>
      <c r="P36" s="30"/>
      <c r="Q36" s="30"/>
      <c r="R36" s="25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34" t="b">
        <v>0</v>
      </c>
      <c r="BA36" s="35"/>
      <c r="BB36" s="35"/>
      <c r="BC36" s="17"/>
      <c r="BD36" s="78" t="s">
        <v>103</v>
      </c>
      <c r="BE36" s="85"/>
      <c r="BF36" s="85"/>
      <c r="BG36" s="85"/>
      <c r="BH36" s="85"/>
      <c r="BI36" s="85"/>
      <c r="BJ36" s="85"/>
      <c r="BK36" s="85"/>
      <c r="BL36" s="86" t="str">
        <f t="shared" si="4"/>
        <v>—</v>
      </c>
      <c r="BM36" s="17"/>
      <c r="BN36" s="17"/>
      <c r="BO36" s="17"/>
      <c r="BP36" s="17"/>
      <c r="BQ36" s="17"/>
      <c r="BR36" s="17"/>
    </row>
    <row r="37" ht="18.0" customHeight="1">
      <c r="A37" s="17"/>
      <c r="B37" s="62" t="s">
        <v>104</v>
      </c>
      <c r="C37" s="30"/>
      <c r="D37" s="30"/>
      <c r="E37" s="25"/>
      <c r="F37" s="63">
        <f>F22+F23</f>
        <v>0</v>
      </c>
      <c r="G37" s="30"/>
      <c r="H37" s="25"/>
      <c r="I37" s="64">
        <f>$F$37/168</f>
        <v>0</v>
      </c>
      <c r="J37" s="30"/>
      <c r="K37" s="25"/>
      <c r="L37" s="65" t="str">
        <f>IFERROR(__xludf.DUMMYFUNCTION("IFERROR(SPARKLINE($F$37,{""charttype"",""bar"";""max"",MAX($F$35:$F$42)+0.0001;""color1"",""#EA580C""}),"""")"),"")</f>
        <v/>
      </c>
      <c r="M37" s="30"/>
      <c r="N37" s="30"/>
      <c r="O37" s="30"/>
      <c r="P37" s="30"/>
      <c r="Q37" s="30"/>
      <c r="R37" s="25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34" t="b">
        <v>0</v>
      </c>
      <c r="BA37" s="35"/>
      <c r="BB37" s="35"/>
      <c r="BC37" s="17"/>
      <c r="BD37" s="78" t="s">
        <v>105</v>
      </c>
      <c r="BE37" s="87"/>
      <c r="BF37" s="87"/>
      <c r="BG37" s="87"/>
      <c r="BH37" s="87"/>
      <c r="BI37" s="87"/>
      <c r="BJ37" s="87"/>
      <c r="BK37" s="87"/>
      <c r="BL37" s="88" t="str">
        <f t="shared" si="4"/>
        <v>—</v>
      </c>
      <c r="BM37" s="17"/>
      <c r="BN37" s="17"/>
      <c r="BO37" s="17"/>
      <c r="BP37" s="17"/>
      <c r="BQ37" s="17"/>
      <c r="BR37" s="17"/>
    </row>
    <row r="38" ht="18.0" customHeight="1">
      <c r="A38" s="17"/>
      <c r="B38" s="62" t="s">
        <v>106</v>
      </c>
      <c r="C38" s="30"/>
      <c r="D38" s="30"/>
      <c r="E38" s="25"/>
      <c r="F38" s="63">
        <f>F25+F26</f>
        <v>0</v>
      </c>
      <c r="G38" s="30"/>
      <c r="H38" s="25"/>
      <c r="I38" s="64">
        <f>$F$38/168</f>
        <v>0</v>
      </c>
      <c r="J38" s="30"/>
      <c r="K38" s="25"/>
      <c r="L38" s="65" t="str">
        <f>IFERROR(__xludf.DUMMYFUNCTION("IFERROR(SPARKLINE($F$38,{""charttype"",""bar"";""max"",MAX($F$35:$F$42)+0.0001;""color1"",""#8e029b""}),"""")"),"")</f>
        <v/>
      </c>
      <c r="M38" s="30"/>
      <c r="N38" s="30"/>
      <c r="O38" s="30"/>
      <c r="P38" s="30"/>
      <c r="Q38" s="30"/>
      <c r="R38" s="25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34" t="b">
        <v>0</v>
      </c>
      <c r="BA38" s="35"/>
      <c r="BB38" s="35"/>
      <c r="BC38" s="17"/>
      <c r="BD38" s="78" t="s">
        <v>107</v>
      </c>
      <c r="BE38" s="89"/>
      <c r="BF38" s="89"/>
      <c r="BG38" s="89"/>
      <c r="BH38" s="89"/>
      <c r="BI38" s="89"/>
      <c r="BJ38" s="89"/>
      <c r="BK38" s="89"/>
      <c r="BL38" s="90" t="str">
        <f t="shared" si="4"/>
        <v>—</v>
      </c>
      <c r="BM38" s="17"/>
      <c r="BN38" s="17"/>
      <c r="BO38" s="17"/>
      <c r="BP38" s="17"/>
      <c r="BQ38" s="17"/>
      <c r="BR38" s="17"/>
    </row>
    <row r="39" ht="18.0" customHeight="1">
      <c r="A39" s="17"/>
      <c r="B39" s="62" t="s">
        <v>108</v>
      </c>
      <c r="C39" s="30"/>
      <c r="D39" s="30"/>
      <c r="E39" s="25"/>
      <c r="F39" s="63">
        <f>F24</f>
        <v>0</v>
      </c>
      <c r="G39" s="30"/>
      <c r="H39" s="25"/>
      <c r="I39" s="64">
        <f>$F$39/168</f>
        <v>0</v>
      </c>
      <c r="J39" s="30"/>
      <c r="K39" s="25"/>
      <c r="L39" s="65" t="str">
        <f>IFERROR(__xludf.DUMMYFUNCTION("IFERROR(SPARKLINE($F$39,{""charttype"",""bar"";""max"",MAX($F$35:$F$42)+0.0001;""color1"",""#89fd05""}),"""")"),"")</f>
        <v/>
      </c>
      <c r="M39" s="30"/>
      <c r="N39" s="30"/>
      <c r="O39" s="30"/>
      <c r="P39" s="30"/>
      <c r="Q39" s="30"/>
      <c r="R39" s="25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</row>
    <row r="40" ht="18.0" customHeight="1">
      <c r="A40" s="17"/>
      <c r="B40" s="62" t="s">
        <v>57</v>
      </c>
      <c r="C40" s="30"/>
      <c r="D40" s="30"/>
      <c r="E40" s="25"/>
      <c r="F40" s="63">
        <f>F27</f>
        <v>0</v>
      </c>
      <c r="G40" s="30"/>
      <c r="H40" s="25"/>
      <c r="I40" s="64">
        <f>$F$40/168</f>
        <v>0</v>
      </c>
      <c r="J40" s="30"/>
      <c r="K40" s="25"/>
      <c r="L40" s="65" t="str">
        <f>IFERROR(__xludf.DUMMYFUNCTION("IFERROR(SPARKLINE($F$40,{""charttype"",""bar"";""max"",MAX($F$35:$F$42)+0.0001;""color1"",""#eeeeee""}),"""")"),"")</f>
        <v/>
      </c>
      <c r="M40" s="30"/>
      <c r="N40" s="30"/>
      <c r="O40" s="30"/>
      <c r="P40" s="30"/>
      <c r="Q40" s="30"/>
      <c r="R40" s="25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91" t="s">
        <v>109</v>
      </c>
      <c r="BE40" s="30"/>
      <c r="BF40" s="30"/>
      <c r="BG40" s="30"/>
      <c r="BH40" s="30"/>
      <c r="BI40" s="30"/>
      <c r="BJ40" s="30"/>
      <c r="BK40" s="30"/>
      <c r="BL40" s="25"/>
      <c r="BM40" s="17"/>
      <c r="BN40" s="17"/>
      <c r="BO40" s="17"/>
      <c r="BP40" s="17"/>
      <c r="BQ40" s="17"/>
      <c r="BR40" s="17"/>
    </row>
    <row r="41" ht="18.0" customHeight="1">
      <c r="A41" s="17"/>
      <c r="B41" s="62" t="s">
        <v>59</v>
      </c>
      <c r="C41" s="30"/>
      <c r="D41" s="30"/>
      <c r="E41" s="25"/>
      <c r="F41" s="63">
        <f>F29</f>
        <v>0</v>
      </c>
      <c r="G41" s="30"/>
      <c r="H41" s="25"/>
      <c r="I41" s="64">
        <f>$F$41/168</f>
        <v>0</v>
      </c>
      <c r="J41" s="30"/>
      <c r="K41" s="25"/>
      <c r="L41" s="65" t="str">
        <f>IFERROR(__xludf.DUMMYFUNCTION("IFERROR(SPARKLINE($F$41,{""charttype"",""bar"";""max"",MAX($F$35:$F$42)+0.0001;""color1"",""#4e4d44""}),"""")"),"")</f>
        <v/>
      </c>
      <c r="M41" s="30"/>
      <c r="N41" s="30"/>
      <c r="O41" s="30"/>
      <c r="P41" s="30"/>
      <c r="Q41" s="30"/>
      <c r="R41" s="25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78" t="s">
        <v>110</v>
      </c>
      <c r="BE41" s="92" t="b">
        <v>0</v>
      </c>
      <c r="BF41" s="92" t="b">
        <v>0</v>
      </c>
      <c r="BG41" s="92" t="b">
        <v>0</v>
      </c>
      <c r="BH41" s="92" t="b">
        <v>0</v>
      </c>
      <c r="BI41" s="92" t="b">
        <v>0</v>
      </c>
      <c r="BJ41" s="92" t="b">
        <v>0</v>
      </c>
      <c r="BK41" s="92" t="b">
        <v>0</v>
      </c>
      <c r="BL41" s="93" t="str">
        <f t="shared" ref="BL41:BL43" si="5">COUNTIF(BE41:BK41,TRUE)&amp;" / 7"</f>
        <v>0 / 7</v>
      </c>
      <c r="BM41" s="17"/>
      <c r="BN41" s="17"/>
      <c r="BO41" s="17"/>
      <c r="BP41" s="17"/>
      <c r="BQ41" s="17"/>
      <c r="BR41" s="17"/>
    </row>
    <row r="42" ht="18.0" customHeight="1">
      <c r="A42" s="17"/>
      <c r="B42" s="62" t="s">
        <v>58</v>
      </c>
      <c r="C42" s="30"/>
      <c r="D42" s="30"/>
      <c r="E42" s="25"/>
      <c r="F42" s="63">
        <f>F28</f>
        <v>0</v>
      </c>
      <c r="G42" s="30"/>
      <c r="H42" s="25"/>
      <c r="I42" s="64">
        <f>$F$42/168</f>
        <v>0</v>
      </c>
      <c r="J42" s="30"/>
      <c r="K42" s="25"/>
      <c r="L42" s="65" t="str">
        <f>IFERROR(__xludf.DUMMYFUNCTION("IFERROR(SPARKLINE($F$42,{""charttype"",""bar"";""max"",MAX($F$35:$F$42)+0.0001;""color1"",""#ff1500""}),"""")"),"")</f>
        <v/>
      </c>
      <c r="M42" s="30"/>
      <c r="N42" s="30"/>
      <c r="O42" s="30"/>
      <c r="P42" s="30"/>
      <c r="Q42" s="30"/>
      <c r="R42" s="25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78" t="s">
        <v>111</v>
      </c>
      <c r="BE42" s="92" t="b">
        <v>0</v>
      </c>
      <c r="BF42" s="92" t="b">
        <v>0</v>
      </c>
      <c r="BG42" s="92" t="b">
        <v>0</v>
      </c>
      <c r="BH42" s="92" t="b">
        <v>0</v>
      </c>
      <c r="BI42" s="92" t="b">
        <v>0</v>
      </c>
      <c r="BJ42" s="92" t="b">
        <v>0</v>
      </c>
      <c r="BK42" s="92" t="b">
        <v>0</v>
      </c>
      <c r="BL42" s="93" t="str">
        <f t="shared" si="5"/>
        <v>0 / 7</v>
      </c>
      <c r="BM42" s="17"/>
      <c r="BN42" s="17"/>
      <c r="BO42" s="17"/>
      <c r="BP42" s="17"/>
      <c r="BQ42" s="17"/>
      <c r="B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78" t="s">
        <v>112</v>
      </c>
      <c r="BE43" s="92" t="b">
        <v>0</v>
      </c>
      <c r="BF43" s="92" t="b">
        <v>0</v>
      </c>
      <c r="BG43" s="92" t="b">
        <v>0</v>
      </c>
      <c r="BH43" s="92" t="b">
        <v>0</v>
      </c>
      <c r="BI43" s="92" t="b">
        <v>0</v>
      </c>
      <c r="BJ43" s="92" t="b">
        <v>0</v>
      </c>
      <c r="BK43" s="92" t="b">
        <v>0</v>
      </c>
      <c r="BL43" s="93" t="str">
        <f t="shared" si="5"/>
        <v>0 / 7</v>
      </c>
      <c r="BM43" s="17"/>
      <c r="BN43" s="17"/>
      <c r="BO43" s="17"/>
      <c r="BP43" s="17"/>
      <c r="BQ43" s="17"/>
      <c r="BR43" s="17"/>
    </row>
    <row r="44" ht="22.5" customHeight="1">
      <c r="A44" s="17"/>
      <c r="B44" s="58" t="s">
        <v>113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94" t="s">
        <v>114</v>
      </c>
      <c r="BL45" s="17"/>
      <c r="BM45" s="17"/>
      <c r="BN45" s="17"/>
      <c r="BO45" s="17"/>
      <c r="BP45" s="17"/>
      <c r="BQ45" s="17"/>
      <c r="BR45" s="17"/>
    </row>
    <row r="46">
      <c r="A46" s="17"/>
      <c r="B46" s="95" t="s">
        <v>115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31" t="s">
        <v>46</v>
      </c>
      <c r="BE46" s="31" t="s">
        <v>94</v>
      </c>
      <c r="BF46" s="31" t="s">
        <v>96</v>
      </c>
      <c r="BG46" s="31" t="s">
        <v>99</v>
      </c>
      <c r="BH46" s="31" t="s">
        <v>101</v>
      </c>
      <c r="BI46" s="31" t="s">
        <v>103</v>
      </c>
      <c r="BJ46" s="31" t="s">
        <v>105</v>
      </c>
      <c r="BK46" s="31" t="s">
        <v>107</v>
      </c>
      <c r="BL46" s="17"/>
      <c r="BM46" s="17"/>
      <c r="BN46" s="17"/>
      <c r="BO46" s="17"/>
      <c r="BP46" s="17"/>
      <c r="BQ46" s="17"/>
      <c r="BR46" s="17"/>
    </row>
    <row r="47">
      <c r="A47" s="17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36" t="s">
        <v>62</v>
      </c>
      <c r="BE47" s="37" t="str">
        <f>IF(BE32="","",BE32)</f>
        <v/>
      </c>
      <c r="BF47" s="37" t="str">
        <f>IF(BE33="","",BE33)</f>
        <v/>
      </c>
      <c r="BG47" s="37" t="str">
        <f>IF(BE34="","",BE34)</f>
        <v/>
      </c>
      <c r="BH47" s="37" t="str">
        <f>IF(BE35="","",BE35)</f>
        <v/>
      </c>
      <c r="BI47" s="37" t="str">
        <f>IF(BE36="","",BE36)</f>
        <v/>
      </c>
      <c r="BJ47" s="37" t="str">
        <f>IF(BE37="","",BE37)</f>
        <v/>
      </c>
      <c r="BK47" s="37" t="str">
        <f>IF(BE38="","",BE38)</f>
        <v/>
      </c>
      <c r="BL47" s="17"/>
      <c r="BM47" s="17"/>
      <c r="BN47" s="17"/>
      <c r="BO47" s="17"/>
      <c r="BP47" s="17"/>
      <c r="BQ47" s="17"/>
      <c r="BR47" s="17"/>
    </row>
    <row r="48">
      <c r="A48" s="17"/>
      <c r="B48" s="99"/>
      <c r="R48" s="100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36" t="s">
        <v>65</v>
      </c>
      <c r="BE48" s="37" t="str">
        <f>IF(BF32="","",BF32)</f>
        <v/>
      </c>
      <c r="BF48" s="37" t="str">
        <f>IF(BF33="","",BF33)</f>
        <v/>
      </c>
      <c r="BG48" s="37" t="str">
        <f>IF(BF34="","",BF34)</f>
        <v/>
      </c>
      <c r="BH48" s="37" t="str">
        <f>IF(BF35="","",BF35)</f>
        <v/>
      </c>
      <c r="BI48" s="37" t="str">
        <f>IF(BF36="","",BF36)</f>
        <v/>
      </c>
      <c r="BJ48" s="37" t="str">
        <f>IF(BF37="","",BF37)</f>
        <v/>
      </c>
      <c r="BK48" s="37" t="str">
        <f>IF(BF38="","",BF38)</f>
        <v/>
      </c>
      <c r="BL48" s="17"/>
      <c r="BM48" s="17"/>
      <c r="BN48" s="17"/>
      <c r="BO48" s="17"/>
      <c r="BP48" s="17"/>
      <c r="BQ48" s="17"/>
      <c r="BR48" s="17"/>
    </row>
    <row r="49">
      <c r="A49" s="17"/>
      <c r="B49" s="101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3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36" t="s">
        <v>66</v>
      </c>
      <c r="BE49" s="37" t="str">
        <f>IF(BG32="","",BG32)</f>
        <v/>
      </c>
      <c r="BF49" s="37" t="str">
        <f>IF(BG33="","",BG33)</f>
        <v/>
      </c>
      <c r="BG49" s="37" t="str">
        <f>IF(BG34="","",BG34)</f>
        <v/>
      </c>
      <c r="BH49" s="37" t="str">
        <f>IF(BG35="","",BG35)</f>
        <v/>
      </c>
      <c r="BI49" s="37" t="str">
        <f>IF(BG36="","",BG36)</f>
        <v/>
      </c>
      <c r="BJ49" s="37" t="str">
        <f>IF(BG37="","",BG37)</f>
        <v/>
      </c>
      <c r="BK49" s="37" t="str">
        <f>IF(BG38="","",BG38)</f>
        <v/>
      </c>
      <c r="BL49" s="17"/>
      <c r="BM49" s="17"/>
      <c r="BN49" s="17"/>
      <c r="BO49" s="17"/>
      <c r="BP49" s="17"/>
      <c r="BQ49" s="17"/>
      <c r="B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36" t="s">
        <v>67</v>
      </c>
      <c r="BE50" s="37" t="str">
        <f>IF(BH32="","",BH32)</f>
        <v/>
      </c>
      <c r="BF50" s="37" t="str">
        <f>IF(BH33="","",BH33)</f>
        <v/>
      </c>
      <c r="BG50" s="37" t="str">
        <f>IF(BH34="","",BH34)</f>
        <v/>
      </c>
      <c r="BH50" s="37" t="str">
        <f>IF(BH35="","",BH35)</f>
        <v/>
      </c>
      <c r="BI50" s="37" t="str">
        <f>IF(BH36="","",BH36)</f>
        <v/>
      </c>
      <c r="BJ50" s="37" t="str">
        <f>IF(BH37="","",BH37)</f>
        <v/>
      </c>
      <c r="BK50" s="37" t="str">
        <f>IF(BH38="","",BH38)</f>
        <v/>
      </c>
      <c r="BL50" s="17"/>
      <c r="BM50" s="17"/>
      <c r="BN50" s="17"/>
      <c r="BO50" s="17"/>
      <c r="BP50" s="17"/>
      <c r="BQ50" s="17"/>
      <c r="BR50" s="17"/>
    </row>
    <row r="51">
      <c r="A51" s="17"/>
      <c r="B51" s="95" t="s">
        <v>116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41" t="s">
        <v>69</v>
      </c>
      <c r="BE51" s="37" t="str">
        <f>IF(BI32="","",BI32)</f>
        <v/>
      </c>
      <c r="BF51" s="37" t="str">
        <f>IF(BI33="","",BI33)</f>
        <v/>
      </c>
      <c r="BG51" s="37" t="str">
        <f>IF(BI34="","",BI34)</f>
        <v/>
      </c>
      <c r="BH51" s="37" t="str">
        <f>IF(BI35="","",BI35)</f>
        <v/>
      </c>
      <c r="BI51" s="37" t="str">
        <f>IF(BI36="","",BI36)</f>
        <v/>
      </c>
      <c r="BJ51" s="37" t="str">
        <f>IF(BI37="","",BI37)</f>
        <v/>
      </c>
      <c r="BK51" s="37" t="str">
        <f>IF(BI38="","",BI38)</f>
        <v/>
      </c>
      <c r="BL51" s="17"/>
      <c r="BM51" s="17"/>
      <c r="BN51" s="17"/>
      <c r="BO51" s="17"/>
      <c r="BP51" s="17"/>
      <c r="BQ51" s="17"/>
      <c r="BR51" s="17"/>
    </row>
    <row r="52">
      <c r="A52" s="17"/>
      <c r="B52" s="9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36" t="s">
        <v>70</v>
      </c>
      <c r="BE52" s="37" t="str">
        <f>IF(BJ32="","",BJ32)</f>
        <v/>
      </c>
      <c r="BF52" s="37" t="str">
        <f>IF(BJ33="","",BJ33)</f>
        <v/>
      </c>
      <c r="BG52" s="37" t="str">
        <f>IF(BJ34="","",BJ34)</f>
        <v/>
      </c>
      <c r="BH52" s="37" t="str">
        <f>IF(BJ35="","",BJ35)</f>
        <v/>
      </c>
      <c r="BI52" s="37" t="str">
        <f>IF(BJ36="","",BJ36)</f>
        <v/>
      </c>
      <c r="BJ52" s="37" t="str">
        <f>IF(BJ37="","",BJ37)</f>
        <v/>
      </c>
      <c r="BK52" s="37" t="str">
        <f>IF(BJ38="","",BJ38)</f>
        <v/>
      </c>
      <c r="BL52" s="17"/>
      <c r="BM52" s="17"/>
      <c r="BN52" s="17"/>
      <c r="BO52" s="17"/>
      <c r="BP52" s="17"/>
      <c r="BQ52" s="17"/>
      <c r="BR52" s="17"/>
    </row>
    <row r="53">
      <c r="A53" s="17"/>
      <c r="B53" s="99"/>
      <c r="R53" s="100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36" t="s">
        <v>71</v>
      </c>
      <c r="BE53" s="37" t="str">
        <f>IF(BK32="","",BK32)</f>
        <v/>
      </c>
      <c r="BF53" s="37" t="str">
        <f>IF(BK33="","",BK33)</f>
        <v/>
      </c>
      <c r="BG53" s="37" t="str">
        <f>IF(BK34="","",BK34)</f>
        <v/>
      </c>
      <c r="BH53" s="37" t="str">
        <f>IF(BK35="","",BK35)</f>
        <v/>
      </c>
      <c r="BI53" s="37" t="str">
        <f>IF(BK36="","",BK36)</f>
        <v/>
      </c>
      <c r="BJ53" s="37" t="str">
        <f>IF(BK37="","",BK37)</f>
        <v/>
      </c>
      <c r="BK53" s="37" t="str">
        <f>IF(BK38="","",BK38)</f>
        <v/>
      </c>
      <c r="BL53" s="17"/>
      <c r="BM53" s="17"/>
      <c r="BN53" s="17"/>
      <c r="BO53" s="17"/>
      <c r="BP53" s="17"/>
      <c r="BQ53" s="17"/>
      <c r="BR53" s="17"/>
    </row>
    <row r="54">
      <c r="A54" s="17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3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</row>
    <row r="56">
      <c r="A56" s="17"/>
      <c r="B56" s="95" t="s">
        <v>117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</row>
    <row r="57">
      <c r="A57" s="17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</row>
    <row r="58">
      <c r="A58" s="17"/>
      <c r="B58" s="99"/>
      <c r="R58" s="100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</row>
    <row r="59">
      <c r="A59" s="17"/>
      <c r="B59" s="10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3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</row>
    <row r="61">
      <c r="A61" s="17"/>
      <c r="B61" s="95" t="s">
        <v>118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</row>
    <row r="62">
      <c r="A62" s="17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>
      <c r="A63" s="17"/>
      <c r="B63" s="99"/>
      <c r="R63" s="100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</row>
    <row r="64">
      <c r="A64" s="17"/>
      <c r="B64" s="101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3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</row>
    <row r="66">
      <c r="A66" s="17"/>
      <c r="B66" s="95" t="s">
        <v>119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</row>
    <row r="67">
      <c r="A67" s="17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</row>
    <row r="68">
      <c r="A68" s="17"/>
      <c r="B68" s="99"/>
      <c r="R68" s="100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</row>
    <row r="69">
      <c r="A69" s="17"/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3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</row>
    <row r="170" ht="22.5" customHeight="1">
      <c r="A170" s="17"/>
      <c r="B170" s="58" t="s">
        <v>120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</row>
    <row r="171">
      <c r="A171" s="17"/>
      <c r="B171" s="61" t="s">
        <v>121</v>
      </c>
      <c r="C171" s="30"/>
      <c r="D171" s="30"/>
      <c r="E171" s="25"/>
      <c r="F171" s="61" t="s">
        <v>122</v>
      </c>
      <c r="G171" s="25"/>
      <c r="H171" s="61" t="s">
        <v>123</v>
      </c>
      <c r="I171" s="25"/>
      <c r="J171" s="61" t="s">
        <v>124</v>
      </c>
      <c r="K171" s="25"/>
      <c r="L171" s="61" t="s">
        <v>125</v>
      </c>
      <c r="M171" s="30"/>
      <c r="N171" s="30"/>
      <c r="O171" s="30"/>
      <c r="P171" s="30"/>
      <c r="Q171" s="30"/>
      <c r="R171" s="25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</row>
    <row r="172" ht="18.0" customHeight="1">
      <c r="A172" s="17"/>
      <c r="B172" s="104" t="s">
        <v>126</v>
      </c>
      <c r="C172" s="30"/>
      <c r="D172" s="30"/>
      <c r="E172" s="25"/>
      <c r="F172" s="105">
        <v>0.3333333333333333</v>
      </c>
      <c r="G172" s="25"/>
      <c r="H172" s="105">
        <v>0.3958333333333333</v>
      </c>
      <c r="I172" s="25"/>
      <c r="J172" s="106" t="str">
        <f>IF(AND($F$172&lt;&gt;"",$H$172&lt;&gt;""),TEXT(MOD($H$172-$F$172,1),"[h]:mm"),"")</f>
        <v>1:30</v>
      </c>
      <c r="K172" s="25"/>
      <c r="L172" s="65"/>
      <c r="M172" s="30"/>
      <c r="N172" s="30"/>
      <c r="O172" s="30"/>
      <c r="P172" s="30"/>
      <c r="Q172" s="30"/>
      <c r="R172" s="25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</row>
    <row r="173" ht="18.0" customHeight="1">
      <c r="A173" s="17"/>
      <c r="B173" s="104" t="s">
        <v>127</v>
      </c>
      <c r="C173" s="30"/>
      <c r="D173" s="30"/>
      <c r="E173" s="25"/>
      <c r="F173" s="105">
        <v>0.4166666666666667</v>
      </c>
      <c r="G173" s="25"/>
      <c r="H173" s="105">
        <v>0.5416666666666666</v>
      </c>
      <c r="I173" s="25"/>
      <c r="J173" s="106" t="str">
        <f>IF(AND($F$173&lt;&gt;"",$H$173&lt;&gt;""),TEXT(MOD($H$173-$F$173,1),"[h]:mm"),"")</f>
        <v>3:00</v>
      </c>
      <c r="K173" s="25"/>
      <c r="L173" s="65"/>
      <c r="M173" s="30"/>
      <c r="N173" s="30"/>
      <c r="O173" s="30"/>
      <c r="P173" s="30"/>
      <c r="Q173" s="30"/>
      <c r="R173" s="25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</row>
    <row r="174" ht="18.0" customHeight="1">
      <c r="A174" s="17"/>
      <c r="B174" s="104" t="s">
        <v>128</v>
      </c>
      <c r="C174" s="30"/>
      <c r="D174" s="30"/>
      <c r="E174" s="25"/>
      <c r="F174" s="105">
        <v>0.75</v>
      </c>
      <c r="G174" s="25"/>
      <c r="H174" s="105">
        <v>0.7916666666666666</v>
      </c>
      <c r="I174" s="25"/>
      <c r="J174" s="106" t="str">
        <f>IF(AND($F$174&lt;&gt;"",$H$174&lt;&gt;""),TEXT(MOD($H$174-$F$174,1),"[h]:mm"),"")</f>
        <v>1:00</v>
      </c>
      <c r="K174" s="25"/>
      <c r="L174" s="65"/>
      <c r="M174" s="30"/>
      <c r="N174" s="30"/>
      <c r="O174" s="30"/>
      <c r="P174" s="30"/>
      <c r="Q174" s="30"/>
      <c r="R174" s="25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</row>
    <row r="175" ht="18.0" customHeight="1">
      <c r="A175" s="17"/>
      <c r="B175" s="104" t="s">
        <v>24</v>
      </c>
      <c r="C175" s="30"/>
      <c r="D175" s="30"/>
      <c r="E175" s="25"/>
      <c r="F175" s="105">
        <v>0.9166666666666666</v>
      </c>
      <c r="G175" s="25"/>
      <c r="H175" s="105">
        <v>0.9305555555555556</v>
      </c>
      <c r="I175" s="25"/>
      <c r="J175" s="106" t="str">
        <f>IF(AND($F$175&lt;&gt;"",$H$175&lt;&gt;""),TEXT(MOD($H$175-$F$175,1),"[h]:mm"),"")</f>
        <v>0:20</v>
      </c>
      <c r="K175" s="25"/>
      <c r="L175" s="65"/>
      <c r="M175" s="30"/>
      <c r="N175" s="30"/>
      <c r="O175" s="30"/>
      <c r="P175" s="30"/>
      <c r="Q175" s="30"/>
      <c r="R175" s="25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</row>
    <row r="176" ht="18.0" customHeight="1">
      <c r="A176" s="17"/>
      <c r="B176" s="65"/>
      <c r="C176" s="30"/>
      <c r="D176" s="30"/>
      <c r="E176" s="25"/>
      <c r="F176" s="107"/>
      <c r="G176" s="25"/>
      <c r="H176" s="107"/>
      <c r="I176" s="25"/>
      <c r="J176" s="106" t="str">
        <f>IF(AND($F$176&lt;&gt;"",$H$176&lt;&gt;""),TEXT(MOD($H$176-$F$176,1),"[h]:mm"),"")</f>
        <v/>
      </c>
      <c r="K176" s="25"/>
      <c r="L176" s="65"/>
      <c r="M176" s="30"/>
      <c r="N176" s="30"/>
      <c r="O176" s="30"/>
      <c r="P176" s="30"/>
      <c r="Q176" s="30"/>
      <c r="R176" s="25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</row>
    <row r="177" ht="18.0" customHeight="1">
      <c r="A177" s="17"/>
      <c r="B177" s="65"/>
      <c r="C177" s="30"/>
      <c r="D177" s="30"/>
      <c r="E177" s="25"/>
      <c r="F177" s="107"/>
      <c r="G177" s="25"/>
      <c r="H177" s="107"/>
      <c r="I177" s="25"/>
      <c r="J177" s="106" t="str">
        <f>IF(AND($F$177&lt;&gt;"",$H$177&lt;&gt;""),TEXT(MOD($H$177-$F$177,1),"[h]:mm"),"")</f>
        <v/>
      </c>
      <c r="K177" s="25"/>
      <c r="L177" s="65"/>
      <c r="M177" s="30"/>
      <c r="N177" s="30"/>
      <c r="O177" s="30"/>
      <c r="P177" s="30"/>
      <c r="Q177" s="30"/>
      <c r="R177" s="25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</row>
    <row r="178" ht="18.0" customHeight="1">
      <c r="A178" s="17"/>
      <c r="B178" s="65"/>
      <c r="C178" s="30"/>
      <c r="D178" s="30"/>
      <c r="E178" s="25"/>
      <c r="F178" s="107"/>
      <c r="G178" s="25"/>
      <c r="H178" s="107"/>
      <c r="I178" s="25"/>
      <c r="J178" s="106" t="str">
        <f>IF(AND($F$178&lt;&gt;"",$H$178&lt;&gt;""),TEXT(MOD($H$178-$F$178,1),"[h]:mm"),"")</f>
        <v/>
      </c>
      <c r="K178" s="25"/>
      <c r="L178" s="65"/>
      <c r="M178" s="30"/>
      <c r="N178" s="30"/>
      <c r="O178" s="30"/>
      <c r="P178" s="30"/>
      <c r="Q178" s="30"/>
      <c r="R178" s="25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</row>
    <row r="179" ht="18.0" customHeight="1">
      <c r="A179" s="17"/>
      <c r="B179" s="65"/>
      <c r="C179" s="30"/>
      <c r="D179" s="30"/>
      <c r="E179" s="25"/>
      <c r="F179" s="107"/>
      <c r="G179" s="25"/>
      <c r="H179" s="107"/>
      <c r="I179" s="25"/>
      <c r="J179" s="106" t="str">
        <f>IF(AND($F$179&lt;&gt;"",$H$179&lt;&gt;""),TEXT(MOD($H$179-$F$179,1),"[h]:mm"),"")</f>
        <v/>
      </c>
      <c r="K179" s="25"/>
      <c r="L179" s="65"/>
      <c r="M179" s="30"/>
      <c r="N179" s="30"/>
      <c r="O179" s="30"/>
      <c r="P179" s="30"/>
      <c r="Q179" s="30"/>
      <c r="R179" s="25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</row>
    <row r="180" ht="18.0" customHeight="1">
      <c r="A180" s="17"/>
      <c r="B180" s="65"/>
      <c r="C180" s="30"/>
      <c r="D180" s="30"/>
      <c r="E180" s="25"/>
      <c r="F180" s="107"/>
      <c r="G180" s="25"/>
      <c r="H180" s="107"/>
      <c r="I180" s="25"/>
      <c r="J180" s="106" t="str">
        <f>IF(AND($F$180&lt;&gt;"",$H$180&lt;&gt;""),TEXT(MOD($H$180-$F$180,1),"[h]:mm"),"")</f>
        <v/>
      </c>
      <c r="K180" s="25"/>
      <c r="L180" s="65"/>
      <c r="M180" s="30"/>
      <c r="N180" s="30"/>
      <c r="O180" s="30"/>
      <c r="P180" s="30"/>
      <c r="Q180" s="30"/>
      <c r="R180" s="25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</row>
    <row r="181" ht="18.0" customHeight="1">
      <c r="A181" s="17"/>
      <c r="B181" s="65"/>
      <c r="C181" s="30"/>
      <c r="D181" s="30"/>
      <c r="E181" s="25"/>
      <c r="F181" s="107"/>
      <c r="G181" s="25"/>
      <c r="H181" s="107"/>
      <c r="I181" s="25"/>
      <c r="J181" s="106" t="str">
        <f>IF(AND($F$181&lt;&gt;"",$H$181&lt;&gt;""),TEXT(MOD($H$181-$F$181,1),"[h]:mm"),"")</f>
        <v/>
      </c>
      <c r="K181" s="25"/>
      <c r="L181" s="65"/>
      <c r="M181" s="30"/>
      <c r="N181" s="30"/>
      <c r="O181" s="30"/>
      <c r="P181" s="30"/>
      <c r="Q181" s="30"/>
      <c r="R181" s="25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</row>
    <row r="182" ht="18.0" customHeight="1">
      <c r="A182" s="17"/>
      <c r="B182" s="65"/>
      <c r="C182" s="30"/>
      <c r="D182" s="30"/>
      <c r="E182" s="25"/>
      <c r="F182" s="107"/>
      <c r="G182" s="25"/>
      <c r="H182" s="107"/>
      <c r="I182" s="25"/>
      <c r="J182" s="106" t="str">
        <f>IF(AND($F$182&lt;&gt;"",$H$182&lt;&gt;""),TEXT(MOD($H$182-$F$182,1),"[h]:mm"),"")</f>
        <v/>
      </c>
      <c r="K182" s="25"/>
      <c r="L182" s="65"/>
      <c r="M182" s="30"/>
      <c r="N182" s="30"/>
      <c r="O182" s="30"/>
      <c r="P182" s="30"/>
      <c r="Q182" s="30"/>
      <c r="R182" s="25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</row>
    <row r="183" ht="18.0" customHeight="1">
      <c r="A183" s="17"/>
      <c r="B183" s="65"/>
      <c r="C183" s="30"/>
      <c r="D183" s="30"/>
      <c r="E183" s="25"/>
      <c r="F183" s="107"/>
      <c r="G183" s="25"/>
      <c r="H183" s="107"/>
      <c r="I183" s="25"/>
      <c r="J183" s="106" t="str">
        <f>IF(AND($F$183&lt;&gt;"",$H$183&lt;&gt;""),TEXT(MOD($H$183-$F$183,1),"[h]:mm"),"")</f>
        <v/>
      </c>
      <c r="K183" s="25"/>
      <c r="L183" s="65"/>
      <c r="M183" s="30"/>
      <c r="N183" s="30"/>
      <c r="O183" s="30"/>
      <c r="P183" s="30"/>
      <c r="Q183" s="30"/>
      <c r="R183" s="25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</row>
    <row r="186" ht="22.5" customHeight="1">
      <c r="A186" s="17"/>
      <c r="B186" s="58" t="s">
        <v>129</v>
      </c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</row>
    <row r="188" ht="19.5" customHeight="1">
      <c r="A188" s="17"/>
      <c r="B188" s="108" t="str">
        <f>"Monday"&amp;"   ·   "&amp;TEXT(MONTH_START+0,"d mmm")</f>
        <v>Monday   ·   17 Aug</v>
      </c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</row>
    <row r="189">
      <c r="A189" s="17"/>
      <c r="B189" s="94" t="s">
        <v>130</v>
      </c>
      <c r="M189" s="17"/>
      <c r="N189" s="94" t="s">
        <v>131</v>
      </c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</row>
    <row r="190">
      <c r="A190" s="17"/>
      <c r="B190" s="96"/>
      <c r="C190" s="97"/>
      <c r="D190" s="97"/>
      <c r="E190" s="97"/>
      <c r="F190" s="97"/>
      <c r="G190" s="97"/>
      <c r="H190" s="97"/>
      <c r="I190" s="97"/>
      <c r="J190" s="97"/>
      <c r="K190" s="97"/>
      <c r="L190" s="98"/>
      <c r="M190" s="17"/>
      <c r="N190" s="96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8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</row>
    <row r="191">
      <c r="A191" s="17"/>
      <c r="B191" s="99"/>
      <c r="L191" s="100"/>
      <c r="M191" s="17"/>
      <c r="N191" s="99"/>
      <c r="AA191" s="10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</row>
    <row r="192">
      <c r="A192" s="17"/>
      <c r="B192" s="99"/>
      <c r="L192" s="100"/>
      <c r="M192" s="17"/>
      <c r="N192" s="99"/>
      <c r="AA192" s="10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</row>
    <row r="193">
      <c r="A193" s="17"/>
      <c r="B193" s="99"/>
      <c r="L193" s="100"/>
      <c r="M193" s="17"/>
      <c r="N193" s="99"/>
      <c r="AA193" s="10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</row>
    <row r="194">
      <c r="A194" s="17"/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3"/>
      <c r="M194" s="17"/>
      <c r="N194" s="101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3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</row>
    <row r="196" ht="19.5" customHeight="1">
      <c r="A196" s="17"/>
      <c r="B196" s="108" t="str">
        <f>"Tuesday"&amp;"   ·   "&amp;TEXT(MONTH_START+1,"d mmm")</f>
        <v>Tuesday   ·   18 Aug</v>
      </c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</row>
    <row r="197">
      <c r="A197" s="17"/>
      <c r="B197" s="94" t="s">
        <v>130</v>
      </c>
      <c r="M197" s="17"/>
      <c r="N197" s="94" t="s">
        <v>131</v>
      </c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</row>
    <row r="198">
      <c r="A198" s="17"/>
      <c r="B198" s="96"/>
      <c r="C198" s="97"/>
      <c r="D198" s="97"/>
      <c r="E198" s="97"/>
      <c r="F198" s="97"/>
      <c r="G198" s="97"/>
      <c r="H198" s="97"/>
      <c r="I198" s="97"/>
      <c r="J198" s="97"/>
      <c r="K198" s="97"/>
      <c r="L198" s="98"/>
      <c r="M198" s="17"/>
      <c r="N198" s="96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8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</row>
    <row r="199">
      <c r="A199" s="17"/>
      <c r="B199" s="99"/>
      <c r="L199" s="100"/>
      <c r="M199" s="17"/>
      <c r="N199" s="99"/>
      <c r="AA199" s="10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</row>
    <row r="200">
      <c r="A200" s="17"/>
      <c r="B200" s="99"/>
      <c r="L200" s="100"/>
      <c r="M200" s="17"/>
      <c r="N200" s="99"/>
      <c r="AA200" s="10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</row>
    <row r="201">
      <c r="A201" s="17"/>
      <c r="B201" s="99"/>
      <c r="L201" s="100"/>
      <c r="M201" s="17"/>
      <c r="N201" s="99"/>
      <c r="AA201" s="10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</row>
    <row r="202">
      <c r="A202" s="17"/>
      <c r="B202" s="101"/>
      <c r="C202" s="102"/>
      <c r="D202" s="102"/>
      <c r="E202" s="102"/>
      <c r="F202" s="102"/>
      <c r="G202" s="102"/>
      <c r="H202" s="102"/>
      <c r="I202" s="102"/>
      <c r="J202" s="102"/>
      <c r="K202" s="102"/>
      <c r="L202" s="103"/>
      <c r="M202" s="17"/>
      <c r="N202" s="101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3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</row>
    <row r="204" ht="19.5" customHeight="1">
      <c r="A204" s="17"/>
      <c r="B204" s="108" t="str">
        <f>"Wednesday"&amp;"   ·   "&amp;TEXT(MONTH_START+2,"d mmm")</f>
        <v>Wednesday   ·   19 Aug</v>
      </c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</row>
    <row r="205">
      <c r="A205" s="17"/>
      <c r="B205" s="94" t="s">
        <v>130</v>
      </c>
      <c r="M205" s="17"/>
      <c r="N205" s="94" t="s">
        <v>131</v>
      </c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</row>
    <row r="206">
      <c r="A206" s="17"/>
      <c r="B206" s="96"/>
      <c r="C206" s="97"/>
      <c r="D206" s="97"/>
      <c r="E206" s="97"/>
      <c r="F206" s="97"/>
      <c r="G206" s="97"/>
      <c r="H206" s="97"/>
      <c r="I206" s="97"/>
      <c r="J206" s="97"/>
      <c r="K206" s="97"/>
      <c r="L206" s="98"/>
      <c r="M206" s="17"/>
      <c r="N206" s="96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8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</row>
    <row r="207">
      <c r="A207" s="17"/>
      <c r="B207" s="99"/>
      <c r="L207" s="100"/>
      <c r="M207" s="17"/>
      <c r="N207" s="99"/>
      <c r="AA207" s="10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</row>
    <row r="208">
      <c r="A208" s="17"/>
      <c r="B208" s="99"/>
      <c r="L208" s="100"/>
      <c r="M208" s="17"/>
      <c r="N208" s="99"/>
      <c r="AA208" s="10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</row>
    <row r="209">
      <c r="A209" s="17"/>
      <c r="B209" s="99"/>
      <c r="L209" s="100"/>
      <c r="M209" s="17"/>
      <c r="N209" s="99"/>
      <c r="AA209" s="10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</row>
    <row r="210">
      <c r="A210" s="17"/>
      <c r="B210" s="101"/>
      <c r="C210" s="102"/>
      <c r="D210" s="102"/>
      <c r="E210" s="102"/>
      <c r="F210" s="102"/>
      <c r="G210" s="102"/>
      <c r="H210" s="102"/>
      <c r="I210" s="102"/>
      <c r="J210" s="102"/>
      <c r="K210" s="102"/>
      <c r="L210" s="103"/>
      <c r="M210" s="17"/>
      <c r="N210" s="101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3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</row>
    <row r="212" ht="19.5" customHeight="1">
      <c r="A212" s="17"/>
      <c r="B212" s="108" t="str">
        <f>"Thursday"&amp;"   ·   "&amp;TEXT(MONTH_START+3,"d mmm")</f>
        <v>Thursday   ·   20 Aug</v>
      </c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</row>
    <row r="213">
      <c r="A213" s="17"/>
      <c r="B213" s="94" t="s">
        <v>130</v>
      </c>
      <c r="M213" s="17"/>
      <c r="N213" s="94" t="s">
        <v>131</v>
      </c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</row>
    <row r="214">
      <c r="A214" s="17"/>
      <c r="B214" s="96"/>
      <c r="C214" s="97"/>
      <c r="D214" s="97"/>
      <c r="E214" s="97"/>
      <c r="F214" s="97"/>
      <c r="G214" s="97"/>
      <c r="H214" s="97"/>
      <c r="I214" s="97"/>
      <c r="J214" s="97"/>
      <c r="K214" s="97"/>
      <c r="L214" s="98"/>
      <c r="M214" s="17"/>
      <c r="N214" s="96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8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</row>
    <row r="215">
      <c r="A215" s="17"/>
      <c r="B215" s="99"/>
      <c r="L215" s="100"/>
      <c r="M215" s="17"/>
      <c r="N215" s="99"/>
      <c r="AA215" s="10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</row>
    <row r="216">
      <c r="A216" s="17"/>
      <c r="B216" s="99"/>
      <c r="L216" s="100"/>
      <c r="M216" s="17"/>
      <c r="N216" s="99"/>
      <c r="AA216" s="10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</row>
    <row r="217">
      <c r="A217" s="17"/>
      <c r="B217" s="99"/>
      <c r="L217" s="100"/>
      <c r="M217" s="17"/>
      <c r="N217" s="99"/>
      <c r="AA217" s="10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</row>
    <row r="218">
      <c r="A218" s="17"/>
      <c r="B218" s="101"/>
      <c r="C218" s="102"/>
      <c r="D218" s="102"/>
      <c r="E218" s="102"/>
      <c r="F218" s="102"/>
      <c r="G218" s="102"/>
      <c r="H218" s="102"/>
      <c r="I218" s="102"/>
      <c r="J218" s="102"/>
      <c r="K218" s="102"/>
      <c r="L218" s="103"/>
      <c r="M218" s="17"/>
      <c r="N218" s="101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3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</row>
    <row r="220" ht="19.5" customHeight="1">
      <c r="A220" s="17"/>
      <c r="B220" s="109" t="str">
        <f>"Friday"&amp;"   ·   "&amp;TEXT(MONTH_START+4,"d mmm")</f>
        <v>Friday   ·   21 Aug</v>
      </c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</row>
    <row r="221">
      <c r="A221" s="17"/>
      <c r="B221" s="94" t="s">
        <v>130</v>
      </c>
      <c r="M221" s="17"/>
      <c r="N221" s="94" t="s">
        <v>131</v>
      </c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</row>
    <row r="222">
      <c r="A222" s="17"/>
      <c r="B222" s="96"/>
      <c r="C222" s="97"/>
      <c r="D222" s="97"/>
      <c r="E222" s="97"/>
      <c r="F222" s="97"/>
      <c r="G222" s="97"/>
      <c r="H222" s="97"/>
      <c r="I222" s="97"/>
      <c r="J222" s="97"/>
      <c r="K222" s="97"/>
      <c r="L222" s="98"/>
      <c r="M222" s="17"/>
      <c r="N222" s="96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8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</row>
    <row r="223">
      <c r="A223" s="17"/>
      <c r="B223" s="99"/>
      <c r="L223" s="100"/>
      <c r="M223" s="17"/>
      <c r="N223" s="99"/>
      <c r="AA223" s="10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</row>
    <row r="224">
      <c r="A224" s="17"/>
      <c r="B224" s="99"/>
      <c r="L224" s="100"/>
      <c r="M224" s="17"/>
      <c r="N224" s="99"/>
      <c r="AA224" s="10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</row>
    <row r="225">
      <c r="A225" s="17"/>
      <c r="B225" s="99"/>
      <c r="L225" s="100"/>
      <c r="M225" s="17"/>
      <c r="N225" s="99"/>
      <c r="AA225" s="10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</row>
    <row r="226">
      <c r="A226" s="17"/>
      <c r="B226" s="101"/>
      <c r="C226" s="102"/>
      <c r="D226" s="102"/>
      <c r="E226" s="102"/>
      <c r="F226" s="102"/>
      <c r="G226" s="102"/>
      <c r="H226" s="102"/>
      <c r="I226" s="102"/>
      <c r="J226" s="102"/>
      <c r="K226" s="102"/>
      <c r="L226" s="103"/>
      <c r="M226" s="17"/>
      <c r="N226" s="101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3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</row>
    <row r="228" ht="19.5" customHeight="1">
      <c r="A228" s="17"/>
      <c r="B228" s="108" t="str">
        <f>"Saturday"&amp;"   ·   "&amp;TEXT(MONTH_START+5,"d mmm")</f>
        <v>Saturday   ·   22 Aug</v>
      </c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</row>
    <row r="229">
      <c r="A229" s="17"/>
      <c r="B229" s="94" t="s">
        <v>130</v>
      </c>
      <c r="M229" s="17"/>
      <c r="N229" s="94" t="s">
        <v>131</v>
      </c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</row>
    <row r="230">
      <c r="A230" s="17"/>
      <c r="B230" s="96"/>
      <c r="C230" s="97"/>
      <c r="D230" s="97"/>
      <c r="E230" s="97"/>
      <c r="F230" s="97"/>
      <c r="G230" s="97"/>
      <c r="H230" s="97"/>
      <c r="I230" s="97"/>
      <c r="J230" s="97"/>
      <c r="K230" s="97"/>
      <c r="L230" s="98"/>
      <c r="M230" s="17"/>
      <c r="N230" s="96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8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</row>
    <row r="231">
      <c r="A231" s="17"/>
      <c r="B231" s="99"/>
      <c r="L231" s="100"/>
      <c r="M231" s="17"/>
      <c r="N231" s="99"/>
      <c r="AA231" s="10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</row>
    <row r="232">
      <c r="A232" s="17"/>
      <c r="B232" s="99"/>
      <c r="L232" s="100"/>
      <c r="M232" s="17"/>
      <c r="N232" s="99"/>
      <c r="AA232" s="10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</row>
    <row r="233">
      <c r="A233" s="17"/>
      <c r="B233" s="99"/>
      <c r="L233" s="100"/>
      <c r="M233" s="17"/>
      <c r="N233" s="99"/>
      <c r="AA233" s="10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</row>
    <row r="234">
      <c r="A234" s="17"/>
      <c r="B234" s="101"/>
      <c r="C234" s="102"/>
      <c r="D234" s="102"/>
      <c r="E234" s="102"/>
      <c r="F234" s="102"/>
      <c r="G234" s="102"/>
      <c r="H234" s="102"/>
      <c r="I234" s="102"/>
      <c r="J234" s="102"/>
      <c r="K234" s="102"/>
      <c r="L234" s="103"/>
      <c r="M234" s="17"/>
      <c r="N234" s="101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3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</row>
    <row r="236" ht="19.5" customHeight="1">
      <c r="A236" s="17"/>
      <c r="B236" s="108" t="str">
        <f>"Sunday"&amp;"   ·   "&amp;TEXT(MONTH_START+6,"d mmm")</f>
        <v>Sunday   ·   23 Aug</v>
      </c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</row>
    <row r="237">
      <c r="A237" s="17"/>
      <c r="B237" s="94" t="s">
        <v>130</v>
      </c>
      <c r="M237" s="17"/>
      <c r="N237" s="94" t="s">
        <v>131</v>
      </c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</row>
    <row r="238">
      <c r="A238" s="17"/>
      <c r="B238" s="96"/>
      <c r="C238" s="97"/>
      <c r="D238" s="97"/>
      <c r="E238" s="97"/>
      <c r="F238" s="97"/>
      <c r="G238" s="97"/>
      <c r="H238" s="97"/>
      <c r="I238" s="97"/>
      <c r="J238" s="97"/>
      <c r="K238" s="97"/>
      <c r="L238" s="98"/>
      <c r="M238" s="17"/>
      <c r="N238" s="96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8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</row>
    <row r="239">
      <c r="A239" s="17"/>
      <c r="B239" s="99"/>
      <c r="L239" s="100"/>
      <c r="M239" s="17"/>
      <c r="N239" s="99"/>
      <c r="AA239" s="10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</row>
    <row r="240">
      <c r="A240" s="17"/>
      <c r="B240" s="99"/>
      <c r="L240" s="100"/>
      <c r="M240" s="17"/>
      <c r="N240" s="99"/>
      <c r="AA240" s="10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</row>
    <row r="241">
      <c r="A241" s="17"/>
      <c r="B241" s="99"/>
      <c r="L241" s="100"/>
      <c r="M241" s="17"/>
      <c r="N241" s="99"/>
      <c r="AA241" s="10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</row>
    <row r="242">
      <c r="A242" s="17"/>
      <c r="B242" s="101"/>
      <c r="C242" s="102"/>
      <c r="D242" s="102"/>
      <c r="E242" s="102"/>
      <c r="F242" s="102"/>
      <c r="G242" s="102"/>
      <c r="H242" s="102"/>
      <c r="I242" s="102"/>
      <c r="J242" s="102"/>
      <c r="K242" s="102"/>
      <c r="L242" s="103"/>
      <c r="M242" s="17"/>
      <c r="N242" s="101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3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</row>
  </sheetData>
  <mergeCells count="281">
    <mergeCell ref="I30:K30"/>
    <mergeCell ref="L30:R30"/>
    <mergeCell ref="B31:E31"/>
    <mergeCell ref="F31:H31"/>
    <mergeCell ref="I31:K31"/>
    <mergeCell ref="L31:R31"/>
    <mergeCell ref="B33:R33"/>
    <mergeCell ref="B34:E34"/>
    <mergeCell ref="F34:H34"/>
    <mergeCell ref="I34:K34"/>
    <mergeCell ref="L34:R34"/>
    <mergeCell ref="F35:H35"/>
    <mergeCell ref="I35:K35"/>
    <mergeCell ref="L35:R35"/>
    <mergeCell ref="O4:P4"/>
    <mergeCell ref="Q4:R4"/>
    <mergeCell ref="O14:R14"/>
    <mergeCell ref="G4:H4"/>
    <mergeCell ref="I4:J4"/>
    <mergeCell ref="C14:F14"/>
    <mergeCell ref="G14:J14"/>
    <mergeCell ref="B16:R16"/>
    <mergeCell ref="B17:E17"/>
    <mergeCell ref="F17:H17"/>
    <mergeCell ref="B19:E19"/>
    <mergeCell ref="F19:H19"/>
    <mergeCell ref="I19:K19"/>
    <mergeCell ref="L19:R19"/>
    <mergeCell ref="F20:H20"/>
    <mergeCell ref="I20:K20"/>
    <mergeCell ref="L20:R20"/>
    <mergeCell ref="I22:K22"/>
    <mergeCell ref="L22:R22"/>
    <mergeCell ref="B20:E20"/>
    <mergeCell ref="B21:E21"/>
    <mergeCell ref="F21:H21"/>
    <mergeCell ref="I21:K21"/>
    <mergeCell ref="L21:R21"/>
    <mergeCell ref="B22:E22"/>
    <mergeCell ref="F22:H22"/>
    <mergeCell ref="I26:K26"/>
    <mergeCell ref="L26:R26"/>
    <mergeCell ref="I41:K41"/>
    <mergeCell ref="L41:R41"/>
    <mergeCell ref="B42:E42"/>
    <mergeCell ref="F42:H42"/>
    <mergeCell ref="I42:K42"/>
    <mergeCell ref="L42:R42"/>
    <mergeCell ref="B44:R44"/>
    <mergeCell ref="B177:E177"/>
    <mergeCell ref="F177:G177"/>
    <mergeCell ref="H177:I177"/>
    <mergeCell ref="J177:K177"/>
    <mergeCell ref="L177:R177"/>
    <mergeCell ref="B178:E178"/>
    <mergeCell ref="F178:G178"/>
    <mergeCell ref="L178:R178"/>
    <mergeCell ref="H178:I178"/>
    <mergeCell ref="J178:K178"/>
    <mergeCell ref="B179:E179"/>
    <mergeCell ref="F179:G179"/>
    <mergeCell ref="H179:I179"/>
    <mergeCell ref="J179:K179"/>
    <mergeCell ref="L179:R179"/>
    <mergeCell ref="B180:E180"/>
    <mergeCell ref="F180:G180"/>
    <mergeCell ref="H180:I180"/>
    <mergeCell ref="J180:K180"/>
    <mergeCell ref="L180:R180"/>
    <mergeCell ref="B181:E181"/>
    <mergeCell ref="F181:G181"/>
    <mergeCell ref="L181:R181"/>
    <mergeCell ref="H181:I181"/>
    <mergeCell ref="J181:K181"/>
    <mergeCell ref="B182:E182"/>
    <mergeCell ref="F182:G182"/>
    <mergeCell ref="H182:I182"/>
    <mergeCell ref="J182:K182"/>
    <mergeCell ref="L182:R182"/>
    <mergeCell ref="B186:AA186"/>
    <mergeCell ref="B188:AA188"/>
    <mergeCell ref="B189:L189"/>
    <mergeCell ref="N189:AA189"/>
    <mergeCell ref="B190:L194"/>
    <mergeCell ref="N190:AA194"/>
    <mergeCell ref="B196:AA196"/>
    <mergeCell ref="N205:AA205"/>
    <mergeCell ref="N206:AA210"/>
    <mergeCell ref="B197:L197"/>
    <mergeCell ref="N197:AA197"/>
    <mergeCell ref="B198:L202"/>
    <mergeCell ref="N198:AA202"/>
    <mergeCell ref="B204:AA204"/>
    <mergeCell ref="B205:L205"/>
    <mergeCell ref="B206:L210"/>
    <mergeCell ref="B212:AA212"/>
    <mergeCell ref="B213:L213"/>
    <mergeCell ref="N213:AA213"/>
    <mergeCell ref="B214:L218"/>
    <mergeCell ref="N214:AA218"/>
    <mergeCell ref="B220:AA220"/>
    <mergeCell ref="N221:AA221"/>
    <mergeCell ref="N230:AA234"/>
    <mergeCell ref="B236:AA236"/>
    <mergeCell ref="B237:L237"/>
    <mergeCell ref="N237:AA237"/>
    <mergeCell ref="B238:L242"/>
    <mergeCell ref="N238:AA242"/>
    <mergeCell ref="B221:L221"/>
    <mergeCell ref="B222:L226"/>
    <mergeCell ref="N222:AA226"/>
    <mergeCell ref="B228:AA228"/>
    <mergeCell ref="B229:L229"/>
    <mergeCell ref="N229:AA229"/>
    <mergeCell ref="B230:L234"/>
    <mergeCell ref="J172:K172"/>
    <mergeCell ref="L172:R172"/>
    <mergeCell ref="L173:R173"/>
    <mergeCell ref="B170:R170"/>
    <mergeCell ref="B171:E171"/>
    <mergeCell ref="F171:G171"/>
    <mergeCell ref="H171:I171"/>
    <mergeCell ref="J171:K171"/>
    <mergeCell ref="L171:R171"/>
    <mergeCell ref="B172:E172"/>
    <mergeCell ref="F174:G174"/>
    <mergeCell ref="H174:I174"/>
    <mergeCell ref="L174:R174"/>
    <mergeCell ref="L175:R175"/>
    <mergeCell ref="F172:G172"/>
    <mergeCell ref="H172:I172"/>
    <mergeCell ref="B173:E173"/>
    <mergeCell ref="F173:G173"/>
    <mergeCell ref="H173:I173"/>
    <mergeCell ref="J173:K173"/>
    <mergeCell ref="J174:K174"/>
    <mergeCell ref="H176:I176"/>
    <mergeCell ref="J176:K176"/>
    <mergeCell ref="L176:R176"/>
    <mergeCell ref="B174:E174"/>
    <mergeCell ref="B175:E175"/>
    <mergeCell ref="F175:G175"/>
    <mergeCell ref="H175:I175"/>
    <mergeCell ref="J175:K175"/>
    <mergeCell ref="B176:E176"/>
    <mergeCell ref="F176:G176"/>
    <mergeCell ref="B183:E183"/>
    <mergeCell ref="F183:G183"/>
    <mergeCell ref="H183:I183"/>
    <mergeCell ref="J183:K183"/>
    <mergeCell ref="L183:R183"/>
    <mergeCell ref="AI4:AJ4"/>
    <mergeCell ref="AK4:AL4"/>
    <mergeCell ref="AM4:AN4"/>
    <mergeCell ref="AO4:AP4"/>
    <mergeCell ref="AQ4:AR4"/>
    <mergeCell ref="AS4:AT4"/>
    <mergeCell ref="AU4:AV4"/>
    <mergeCell ref="AW4:AX4"/>
    <mergeCell ref="AZ3:BB3"/>
    <mergeCell ref="AZ4:BB4"/>
    <mergeCell ref="B1:AX1"/>
    <mergeCell ref="AZ1:BK1"/>
    <mergeCell ref="B2:AX2"/>
    <mergeCell ref="AZ2:BK2"/>
    <mergeCell ref="B4:B5"/>
    <mergeCell ref="C4:D4"/>
    <mergeCell ref="E4:F4"/>
    <mergeCell ref="BD3:BQ3"/>
    <mergeCell ref="B23:E23"/>
    <mergeCell ref="F23:H23"/>
    <mergeCell ref="I23:K23"/>
    <mergeCell ref="L23:R23"/>
    <mergeCell ref="F24:H24"/>
    <mergeCell ref="I24:K24"/>
    <mergeCell ref="L24:R24"/>
    <mergeCell ref="AZ24:BB24"/>
    <mergeCell ref="B24:E24"/>
    <mergeCell ref="B25:E25"/>
    <mergeCell ref="F25:H25"/>
    <mergeCell ref="I25:K25"/>
    <mergeCell ref="L25:R25"/>
    <mergeCell ref="B26:E26"/>
    <mergeCell ref="F26:H26"/>
    <mergeCell ref="B27:E27"/>
    <mergeCell ref="F27:H27"/>
    <mergeCell ref="I27:K27"/>
    <mergeCell ref="L27:R27"/>
    <mergeCell ref="F28:H28"/>
    <mergeCell ref="I28:K28"/>
    <mergeCell ref="L28:R28"/>
    <mergeCell ref="AZ29:BB29"/>
    <mergeCell ref="BD30:BL30"/>
    <mergeCell ref="B28:E28"/>
    <mergeCell ref="B29:E29"/>
    <mergeCell ref="F29:H29"/>
    <mergeCell ref="I29:K29"/>
    <mergeCell ref="L29:R29"/>
    <mergeCell ref="B30:E30"/>
    <mergeCell ref="F30:H30"/>
    <mergeCell ref="I37:K37"/>
    <mergeCell ref="L37:R37"/>
    <mergeCell ref="B35:E35"/>
    <mergeCell ref="B36:E36"/>
    <mergeCell ref="F36:H36"/>
    <mergeCell ref="I36:K36"/>
    <mergeCell ref="L36:R36"/>
    <mergeCell ref="B37:E37"/>
    <mergeCell ref="F37:H37"/>
    <mergeCell ref="AZ34:BB34"/>
    <mergeCell ref="B38:E38"/>
    <mergeCell ref="F38:H38"/>
    <mergeCell ref="I38:K38"/>
    <mergeCell ref="L38:R38"/>
    <mergeCell ref="F39:H39"/>
    <mergeCell ref="I39:K39"/>
    <mergeCell ref="L39:R39"/>
    <mergeCell ref="BD40:BL40"/>
    <mergeCell ref="BD45:BK45"/>
    <mergeCell ref="B39:E39"/>
    <mergeCell ref="B40:E40"/>
    <mergeCell ref="F40:H40"/>
    <mergeCell ref="I40:K40"/>
    <mergeCell ref="L40:R40"/>
    <mergeCell ref="B41:E41"/>
    <mergeCell ref="F41:H41"/>
    <mergeCell ref="B62:R64"/>
    <mergeCell ref="B66:R66"/>
    <mergeCell ref="B67:R69"/>
    <mergeCell ref="B46:R46"/>
    <mergeCell ref="B47:R49"/>
    <mergeCell ref="B51:R51"/>
    <mergeCell ref="B52:R54"/>
    <mergeCell ref="B56:R56"/>
    <mergeCell ref="B57:R59"/>
    <mergeCell ref="B61:R61"/>
    <mergeCell ref="BI15:BK15"/>
    <mergeCell ref="BM15:BP15"/>
    <mergeCell ref="AU14:AX14"/>
    <mergeCell ref="AZ14:BB14"/>
    <mergeCell ref="BD14:BQ14"/>
    <mergeCell ref="BD15:BG15"/>
    <mergeCell ref="BD16:BG17"/>
    <mergeCell ref="BI16:BK17"/>
    <mergeCell ref="BM16:BP17"/>
    <mergeCell ref="BF25:BH25"/>
    <mergeCell ref="BF26:BH26"/>
    <mergeCell ref="BF27:BH27"/>
    <mergeCell ref="BF28:BH28"/>
    <mergeCell ref="AZ19:BB19"/>
    <mergeCell ref="BF19:BH19"/>
    <mergeCell ref="BF20:BH20"/>
    <mergeCell ref="BF21:BH21"/>
    <mergeCell ref="BF22:BH22"/>
    <mergeCell ref="BF23:BH23"/>
    <mergeCell ref="BF24:BH24"/>
    <mergeCell ref="K4:L4"/>
    <mergeCell ref="M4:N4"/>
    <mergeCell ref="K14:N14"/>
    <mergeCell ref="S4:T4"/>
    <mergeCell ref="U4:V4"/>
    <mergeCell ref="S14:V14"/>
    <mergeCell ref="W4:X4"/>
    <mergeCell ref="Y4:Z4"/>
    <mergeCell ref="W14:Z14"/>
    <mergeCell ref="AA4:AB4"/>
    <mergeCell ref="AC4:AD4"/>
    <mergeCell ref="AA14:AD14"/>
    <mergeCell ref="I17:K17"/>
    <mergeCell ref="L17:R17"/>
    <mergeCell ref="B18:E18"/>
    <mergeCell ref="F18:H18"/>
    <mergeCell ref="I18:K18"/>
    <mergeCell ref="L18:R18"/>
    <mergeCell ref="AE4:AF4"/>
    <mergeCell ref="AG4:AH4"/>
    <mergeCell ref="AE14:AH14"/>
    <mergeCell ref="AI14:AL14"/>
    <mergeCell ref="AM14:AP14"/>
    <mergeCell ref="AQ14:AT14"/>
    <mergeCell ref="AZ9:BB9"/>
  </mergeCells>
  <conditionalFormatting sqref="C6:AX12">
    <cfRule type="cellIs" dxfId="0" priority="1" stopIfTrue="1" operator="equal">
      <formula>"codding"</formula>
    </cfRule>
  </conditionalFormatting>
  <conditionalFormatting sqref="C6:AX12">
    <cfRule type="cellIs" dxfId="1" priority="2" stopIfTrue="1" operator="equal">
      <formula>"learn-prog"</formula>
    </cfRule>
  </conditionalFormatting>
  <conditionalFormatting sqref="C6:AX12">
    <cfRule type="cellIs" dxfId="2" priority="3" stopIfTrue="1" operator="equal">
      <formula>"En-book"</formula>
    </cfRule>
  </conditionalFormatting>
  <conditionalFormatting sqref="C6:AX12">
    <cfRule type="cellIs" dxfId="3" priority="4" stopIfTrue="1" operator="equal">
      <formula>"En-listening"</formula>
    </cfRule>
  </conditionalFormatting>
  <conditionalFormatting sqref="C6:AX12">
    <cfRule type="cellIs" dxfId="4" priority="5" stopIfTrue="1" operator="equal">
      <formula>"Run"</formula>
    </cfRule>
  </conditionalFormatting>
  <conditionalFormatting sqref="C6:AX12">
    <cfRule type="cellIs" dxfId="5" priority="6" stopIfTrue="1" operator="equal">
      <formula>"Gym"</formula>
    </cfRule>
  </conditionalFormatting>
  <conditionalFormatting sqref="C6:AX12">
    <cfRule type="cellIs" dxfId="6" priority="7" stopIfTrue="1" operator="equal">
      <formula>"work"</formula>
    </cfRule>
  </conditionalFormatting>
  <conditionalFormatting sqref="C6:AX12">
    <cfRule type="cellIs" dxfId="7" priority="8" stopIfTrue="1" operator="equal">
      <formula>"Meditation"</formula>
    </cfRule>
  </conditionalFormatting>
  <conditionalFormatting sqref="C6:AX12">
    <cfRule type="cellIs" dxfId="8" priority="9" stopIfTrue="1" operator="equal">
      <formula>"Setar"</formula>
    </cfRule>
  </conditionalFormatting>
  <conditionalFormatting sqref="C6:AX12">
    <cfRule type="cellIs" dxfId="9" priority="10" stopIfTrue="1" operator="equal">
      <formula>"Personal Tasks"</formula>
    </cfRule>
  </conditionalFormatting>
  <conditionalFormatting sqref="C6:AX12">
    <cfRule type="cellIs" dxfId="10" priority="11" stopIfTrue="1" operator="equal">
      <formula>"Wasted Time"</formula>
    </cfRule>
  </conditionalFormatting>
  <conditionalFormatting sqref="C6:AX12">
    <cfRule type="cellIs" dxfId="11" priority="12" stopIfTrue="1" operator="equal">
      <formula>"Sleep"</formula>
    </cfRule>
  </conditionalFormatting>
  <conditionalFormatting sqref="AZ4:BB38">
    <cfRule type="expression" dxfId="12" priority="13" stopIfTrue="1">
      <formula>$AZ4=TRUE</formula>
    </cfRule>
  </conditionalFormatting>
  <dataValidations>
    <dataValidation type="list" allowBlank="1" showInputMessage="1" showErrorMessage="1" prompt="Pick an activity — each block is 30 minutes." sqref="C6:AX12">
      <formula1>'⚙️ Config'!$A$2:$A$13</formula1>
    </dataValidation>
  </dataValidations>
  <hyperlinks>
    <hyperlink display="📅 Week 1    |    📅 Week 2    |    📅 Week 3    |    📅 Week 4    |    📊 Dashboard" location="'Week 1'!A1" ref="B2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4.13"/>
    <col customWidth="1" min="3" max="50" width="3.88"/>
    <col customWidth="1" min="51" max="51" width="2.88"/>
    <col customWidth="1" min="52" max="52" width="5.63"/>
    <col customWidth="1" min="53" max="53" width="28.88"/>
    <col customWidth="1" min="54" max="54" width="31.38"/>
    <col customWidth="1" min="55" max="55" width="2.63"/>
    <col customWidth="1" min="56" max="56" width="12.13"/>
    <col customWidth="1" min="57" max="68" width="10.75"/>
    <col customWidth="1" min="69" max="69" width="10.13"/>
    <col customWidth="1" min="70" max="70" width="2.13"/>
  </cols>
  <sheetData>
    <row r="1" ht="37.5" customHeight="1">
      <c r="A1" s="17"/>
      <c r="B1" s="18" t="s">
        <v>39</v>
      </c>
      <c r="AY1" s="17"/>
      <c r="AZ1" s="19" t="s">
        <v>37</v>
      </c>
      <c r="BL1" s="17"/>
      <c r="BM1" s="17"/>
      <c r="BN1" s="17"/>
      <c r="BO1" s="17"/>
      <c r="BP1" s="17"/>
      <c r="BQ1" s="17"/>
      <c r="BR1" s="17"/>
    </row>
    <row r="2" ht="21.0" customHeight="1">
      <c r="A2" s="17"/>
      <c r="B2" s="20" t="s">
        <v>41</v>
      </c>
      <c r="AY2" s="17"/>
      <c r="AZ2" s="21" t="s">
        <v>40</v>
      </c>
      <c r="BL2" s="17"/>
      <c r="BM2" s="17"/>
      <c r="BN2" s="17"/>
      <c r="BO2" s="17"/>
      <c r="BP2" s="17"/>
      <c r="BQ2" s="17"/>
      <c r="BR2" s="17"/>
    </row>
    <row r="3" ht="22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22" t="s">
        <v>42</v>
      </c>
      <c r="BC3" s="17"/>
      <c r="BD3" s="22" t="s">
        <v>43</v>
      </c>
      <c r="BR3" s="17"/>
    </row>
    <row r="4" ht="19.5" customHeight="1">
      <c r="A4" s="17"/>
      <c r="B4" s="23" t="s">
        <v>44</v>
      </c>
      <c r="C4" s="24">
        <v>0.0</v>
      </c>
      <c r="D4" s="25"/>
      <c r="E4" s="24">
        <v>1.0</v>
      </c>
      <c r="F4" s="25"/>
      <c r="G4" s="24">
        <v>2.0</v>
      </c>
      <c r="H4" s="25"/>
      <c r="I4" s="24">
        <v>3.0</v>
      </c>
      <c r="J4" s="25"/>
      <c r="K4" s="24">
        <v>4.0</v>
      </c>
      <c r="L4" s="25"/>
      <c r="M4" s="24">
        <v>5.0</v>
      </c>
      <c r="N4" s="25"/>
      <c r="O4" s="26">
        <v>6.0</v>
      </c>
      <c r="P4" s="25"/>
      <c r="Q4" s="26">
        <v>7.0</v>
      </c>
      <c r="R4" s="25"/>
      <c r="S4" s="26">
        <v>8.0</v>
      </c>
      <c r="T4" s="25"/>
      <c r="U4" s="26">
        <v>9.0</v>
      </c>
      <c r="V4" s="25"/>
      <c r="W4" s="26">
        <v>10.0</v>
      </c>
      <c r="X4" s="25"/>
      <c r="Y4" s="26">
        <v>11.0</v>
      </c>
      <c r="Z4" s="25"/>
      <c r="AA4" s="27">
        <v>12.0</v>
      </c>
      <c r="AB4" s="25"/>
      <c r="AC4" s="27">
        <v>13.0</v>
      </c>
      <c r="AD4" s="25"/>
      <c r="AE4" s="27">
        <v>14.0</v>
      </c>
      <c r="AF4" s="25"/>
      <c r="AG4" s="27">
        <v>15.0</v>
      </c>
      <c r="AH4" s="25"/>
      <c r="AI4" s="27">
        <v>16.0</v>
      </c>
      <c r="AJ4" s="25"/>
      <c r="AK4" s="27">
        <v>17.0</v>
      </c>
      <c r="AL4" s="25"/>
      <c r="AM4" s="28">
        <v>18.0</v>
      </c>
      <c r="AN4" s="25"/>
      <c r="AO4" s="28">
        <v>19.0</v>
      </c>
      <c r="AP4" s="25"/>
      <c r="AQ4" s="28">
        <v>20.0</v>
      </c>
      <c r="AR4" s="25"/>
      <c r="AS4" s="28">
        <v>21.0</v>
      </c>
      <c r="AT4" s="25"/>
      <c r="AU4" s="28">
        <v>22.0</v>
      </c>
      <c r="AV4" s="25"/>
      <c r="AW4" s="28">
        <v>23.0</v>
      </c>
      <c r="AX4" s="25"/>
      <c r="AY4" s="17"/>
      <c r="AZ4" s="29" t="s">
        <v>45</v>
      </c>
      <c r="BA4" s="30"/>
      <c r="BB4" s="25"/>
      <c r="BC4" s="17"/>
      <c r="BD4" s="31" t="s">
        <v>46</v>
      </c>
      <c r="BE4" s="31" t="s">
        <v>47</v>
      </c>
      <c r="BF4" s="31" t="s">
        <v>49</v>
      </c>
      <c r="BG4" s="31" t="s">
        <v>50</v>
      </c>
      <c r="BH4" s="31" t="s">
        <v>51</v>
      </c>
      <c r="BI4" s="31" t="s">
        <v>52</v>
      </c>
      <c r="BJ4" s="31" t="s">
        <v>53</v>
      </c>
      <c r="BK4" s="31" t="s">
        <v>54</v>
      </c>
      <c r="BL4" s="31" t="s">
        <v>55</v>
      </c>
      <c r="BM4" s="31" t="s">
        <v>56</v>
      </c>
      <c r="BN4" s="31" t="s">
        <v>57</v>
      </c>
      <c r="BO4" s="31" t="s">
        <v>58</v>
      </c>
      <c r="BP4" s="31" t="s">
        <v>59</v>
      </c>
      <c r="BQ4" s="31" t="s">
        <v>60</v>
      </c>
      <c r="BR4" s="17"/>
    </row>
    <row r="5" ht="16.5" customHeight="1">
      <c r="A5" s="17"/>
      <c r="B5" s="32"/>
      <c r="C5" s="33">
        <v>0.0</v>
      </c>
      <c r="D5" s="33">
        <v>30.0</v>
      </c>
      <c r="E5" s="33">
        <v>0.0</v>
      </c>
      <c r="F5" s="33">
        <v>30.0</v>
      </c>
      <c r="G5" s="33">
        <v>0.0</v>
      </c>
      <c r="H5" s="33">
        <v>30.0</v>
      </c>
      <c r="I5" s="33">
        <v>0.0</v>
      </c>
      <c r="J5" s="33">
        <v>30.0</v>
      </c>
      <c r="K5" s="33">
        <v>0.0</v>
      </c>
      <c r="L5" s="33">
        <v>30.0</v>
      </c>
      <c r="M5" s="33">
        <v>0.0</v>
      </c>
      <c r="N5" s="33">
        <v>30.0</v>
      </c>
      <c r="O5" s="33">
        <v>0.0</v>
      </c>
      <c r="P5" s="33">
        <v>30.0</v>
      </c>
      <c r="Q5" s="33">
        <v>0.0</v>
      </c>
      <c r="R5" s="33">
        <v>30.0</v>
      </c>
      <c r="S5" s="33">
        <v>0.0</v>
      </c>
      <c r="T5" s="33">
        <v>30.0</v>
      </c>
      <c r="U5" s="33">
        <v>0.0</v>
      </c>
      <c r="V5" s="33">
        <v>30.0</v>
      </c>
      <c r="W5" s="33">
        <v>0.0</v>
      </c>
      <c r="X5" s="33">
        <v>30.0</v>
      </c>
      <c r="Y5" s="33">
        <v>0.0</v>
      </c>
      <c r="Z5" s="33">
        <v>30.0</v>
      </c>
      <c r="AA5" s="33">
        <v>0.0</v>
      </c>
      <c r="AB5" s="33">
        <v>30.0</v>
      </c>
      <c r="AC5" s="33">
        <v>0.0</v>
      </c>
      <c r="AD5" s="33">
        <v>30.0</v>
      </c>
      <c r="AE5" s="33">
        <v>0.0</v>
      </c>
      <c r="AF5" s="33">
        <v>30.0</v>
      </c>
      <c r="AG5" s="33">
        <v>0.0</v>
      </c>
      <c r="AH5" s="33">
        <v>30.0</v>
      </c>
      <c r="AI5" s="33">
        <v>0.0</v>
      </c>
      <c r="AJ5" s="33">
        <v>30.0</v>
      </c>
      <c r="AK5" s="33">
        <v>0.0</v>
      </c>
      <c r="AL5" s="33">
        <v>30.0</v>
      </c>
      <c r="AM5" s="33">
        <v>0.0</v>
      </c>
      <c r="AN5" s="33">
        <v>30.0</v>
      </c>
      <c r="AO5" s="33">
        <v>0.0</v>
      </c>
      <c r="AP5" s="33">
        <v>30.0</v>
      </c>
      <c r="AQ5" s="33">
        <v>0.0</v>
      </c>
      <c r="AR5" s="33">
        <v>30.0</v>
      </c>
      <c r="AS5" s="33">
        <v>0.0</v>
      </c>
      <c r="AT5" s="33">
        <v>30.0</v>
      </c>
      <c r="AU5" s="33">
        <v>0.0</v>
      </c>
      <c r="AV5" s="33">
        <v>30.0</v>
      </c>
      <c r="AW5" s="33">
        <v>0.0</v>
      </c>
      <c r="AX5" s="33">
        <v>30.0</v>
      </c>
      <c r="AY5" s="17"/>
      <c r="AZ5" s="34" t="b">
        <v>0</v>
      </c>
      <c r="BA5" s="35"/>
      <c r="BB5" s="35"/>
      <c r="BC5" s="17"/>
      <c r="BD5" s="36" t="s">
        <v>62</v>
      </c>
      <c r="BE5" s="37">
        <f>COUNTIF($C$6:$AX$6,"codding")*0.5</f>
        <v>0</v>
      </c>
      <c r="BF5" s="37">
        <f>COUNTIF($C$6:$AX$6,"learn-prog")*0.5</f>
        <v>0</v>
      </c>
      <c r="BG5" s="37">
        <f>COUNTIF($C$6:$AX$6,"En-book")*0.5</f>
        <v>0</v>
      </c>
      <c r="BH5" s="37">
        <f>COUNTIF($C$6:$AX$6,"En-listening")*0.5</f>
        <v>0</v>
      </c>
      <c r="BI5" s="37">
        <f>COUNTIF($C$6:$AX$6,"Run")*0.5</f>
        <v>0</v>
      </c>
      <c r="BJ5" s="37">
        <f>COUNTIF($C$6:$AX$6,"Gym")*0.5</f>
        <v>0</v>
      </c>
      <c r="BK5" s="37">
        <f>COUNTIF($C$6:$AX$6,"work")*0.5</f>
        <v>0</v>
      </c>
      <c r="BL5" s="37">
        <f>COUNTIF($C$6:$AX$6,"Meditation")*0.5</f>
        <v>0</v>
      </c>
      <c r="BM5" s="37">
        <f>COUNTIF($C$6:$AX$6,"Setar")*0.5</f>
        <v>0</v>
      </c>
      <c r="BN5" s="37">
        <f>COUNTIF($C$6:$AX$6,"Personal Tasks")*0.5</f>
        <v>0</v>
      </c>
      <c r="BO5" s="37">
        <f>COUNTIF($C$6:$AX$6,"Wasted Time")*0.5</f>
        <v>0</v>
      </c>
      <c r="BP5" s="37">
        <f>COUNTIF($C$6:$AX$6,"Sleep")*0.5</f>
        <v>0</v>
      </c>
      <c r="BQ5" s="38">
        <f t="shared" ref="BQ5:BQ11" si="1">SUM(BE5:BP5)</f>
        <v>0</v>
      </c>
      <c r="BR5" s="17"/>
    </row>
    <row r="6" ht="27.0" customHeight="1">
      <c r="A6" s="17"/>
      <c r="B6" s="39" t="str">
        <f>"Monday"&amp;CHAR(10)&amp;TEXT(MONTH_START+7,"d mmm")</f>
        <v>Monday
24 Aug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17"/>
      <c r="AZ6" s="34" t="b">
        <v>0</v>
      </c>
      <c r="BA6" s="35"/>
      <c r="BB6" s="35"/>
      <c r="BC6" s="17"/>
      <c r="BD6" s="36" t="s">
        <v>65</v>
      </c>
      <c r="BE6" s="37">
        <f>COUNTIF($C$7:$AX$7,"codding")*0.5</f>
        <v>0</v>
      </c>
      <c r="BF6" s="37">
        <f>COUNTIF($C$7:$AX$7,"learn-prog")*0.5</f>
        <v>0</v>
      </c>
      <c r="BG6" s="37">
        <f>COUNTIF($C$7:$AX$7,"En-book")*0.5</f>
        <v>0</v>
      </c>
      <c r="BH6" s="37">
        <f>COUNTIF($C$7:$AX$7,"En-listening")*0.5</f>
        <v>0</v>
      </c>
      <c r="BI6" s="37">
        <f>COUNTIF($C$7:$AX$7,"Run")*0.5</f>
        <v>0</v>
      </c>
      <c r="BJ6" s="37">
        <f>COUNTIF($C$7:$AX$7,"Gym")*0.5</f>
        <v>0</v>
      </c>
      <c r="BK6" s="37">
        <f>COUNTIF($C$7:$AX$7,"work")*0.5</f>
        <v>0</v>
      </c>
      <c r="BL6" s="37">
        <f>COUNTIF($C$7:$AX$7,"Meditation")*0.5</f>
        <v>0</v>
      </c>
      <c r="BM6" s="37">
        <f>COUNTIF($C$7:$AX$7,"Setar")*0.5</f>
        <v>0</v>
      </c>
      <c r="BN6" s="37">
        <f>COUNTIF($C$7:$AX$7,"Personal Tasks")*0.5</f>
        <v>0</v>
      </c>
      <c r="BO6" s="37">
        <f>COUNTIF($C$7:$AX$7,"Wasted Time")*0.5</f>
        <v>0</v>
      </c>
      <c r="BP6" s="37">
        <f>COUNTIF($C$7:$AX$7,"Sleep")*0.5</f>
        <v>0</v>
      </c>
      <c r="BQ6" s="38">
        <f t="shared" si="1"/>
        <v>0</v>
      </c>
      <c r="BR6" s="17"/>
    </row>
    <row r="7" ht="27.0" customHeight="1">
      <c r="A7" s="17"/>
      <c r="B7" s="39" t="str">
        <f>"Tuesday"&amp;CHAR(10)&amp;TEXT(MONTH_START+8,"d mmm")</f>
        <v>Tuesday
25 Aug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17"/>
      <c r="AZ7" s="34" t="b">
        <v>0</v>
      </c>
      <c r="BA7" s="35"/>
      <c r="BB7" s="35"/>
      <c r="BC7" s="17"/>
      <c r="BD7" s="36" t="s">
        <v>66</v>
      </c>
      <c r="BE7" s="37">
        <f>COUNTIF($C$8:$AX$8,"codding")*0.5</f>
        <v>0</v>
      </c>
      <c r="BF7" s="37">
        <f>COUNTIF($C$8:$AX$8,"learn-prog")*0.5</f>
        <v>0</v>
      </c>
      <c r="BG7" s="37">
        <f>COUNTIF($C$8:$AX$8,"En-book")*0.5</f>
        <v>0</v>
      </c>
      <c r="BH7" s="37">
        <f>COUNTIF($C$8:$AX$8,"En-listening")*0.5</f>
        <v>0</v>
      </c>
      <c r="BI7" s="37">
        <f>COUNTIF($C$8:$AX$8,"Run")*0.5</f>
        <v>0</v>
      </c>
      <c r="BJ7" s="37">
        <f>COUNTIF($C$8:$AX$8,"Gym")*0.5</f>
        <v>0</v>
      </c>
      <c r="BK7" s="37">
        <f>COUNTIF($C$8:$AX$8,"work")*0.5</f>
        <v>0</v>
      </c>
      <c r="BL7" s="37">
        <f>COUNTIF($C$8:$AX$8,"Meditation")*0.5</f>
        <v>0</v>
      </c>
      <c r="BM7" s="37">
        <f>COUNTIF($C$8:$AX$8,"Setar")*0.5</f>
        <v>0</v>
      </c>
      <c r="BN7" s="37">
        <f>COUNTIF($C$8:$AX$8,"Personal Tasks")*0.5</f>
        <v>0</v>
      </c>
      <c r="BO7" s="37">
        <f>COUNTIF($C$8:$AX$8,"Wasted Time")*0.5</f>
        <v>0</v>
      </c>
      <c r="BP7" s="37">
        <f>COUNTIF($C$8:$AX$8,"Sleep")*0.5</f>
        <v>0</v>
      </c>
      <c r="BQ7" s="38">
        <f t="shared" si="1"/>
        <v>0</v>
      </c>
      <c r="BR7" s="17"/>
    </row>
    <row r="8" ht="27.0" customHeight="1">
      <c r="A8" s="17"/>
      <c r="B8" s="39" t="str">
        <f>"Wednesday"&amp;CHAR(10)&amp;TEXT(MONTH_START+9,"d mmm")</f>
        <v>Wednesday
26 Aug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17"/>
      <c r="AZ8" s="34" t="b">
        <v>0</v>
      </c>
      <c r="BA8" s="35"/>
      <c r="BB8" s="35"/>
      <c r="BC8" s="17"/>
      <c r="BD8" s="36" t="s">
        <v>67</v>
      </c>
      <c r="BE8" s="37">
        <f>COUNTIF($C$9:$AX$9,"codding")*0.5</f>
        <v>0</v>
      </c>
      <c r="BF8" s="37">
        <f>COUNTIF($C$9:$AX$9,"learn-prog")*0.5</f>
        <v>0</v>
      </c>
      <c r="BG8" s="37">
        <f>COUNTIF($C$9:$AX$9,"En-book")*0.5</f>
        <v>0</v>
      </c>
      <c r="BH8" s="37">
        <f>COUNTIF($C$9:$AX$9,"En-listening")*0.5</f>
        <v>0</v>
      </c>
      <c r="BI8" s="37">
        <f>COUNTIF($C$9:$AX$9,"Run")*0.5</f>
        <v>0</v>
      </c>
      <c r="BJ8" s="37">
        <f>COUNTIF($C$9:$AX$9,"Gym")*0.5</f>
        <v>0</v>
      </c>
      <c r="BK8" s="37">
        <f>COUNTIF($C$9:$AX$9,"work")*0.5</f>
        <v>0</v>
      </c>
      <c r="BL8" s="37">
        <f>COUNTIF($C$9:$AX$9,"Meditation")*0.5</f>
        <v>0</v>
      </c>
      <c r="BM8" s="37">
        <f>COUNTIF($C$9:$AX$9,"Setar")*0.5</f>
        <v>0</v>
      </c>
      <c r="BN8" s="37">
        <f>COUNTIF($C$9:$AX$9,"Personal Tasks")*0.5</f>
        <v>0</v>
      </c>
      <c r="BO8" s="37">
        <f>COUNTIF($C$9:$AX$9,"Wasted Time")*0.5</f>
        <v>0</v>
      </c>
      <c r="BP8" s="37">
        <f>COUNTIF($C$9:$AX$9,"Sleep")*0.5</f>
        <v>0</v>
      </c>
      <c r="BQ8" s="38">
        <f t="shared" si="1"/>
        <v>0</v>
      </c>
      <c r="BR8" s="17"/>
    </row>
    <row r="9" ht="27.0" customHeight="1">
      <c r="A9" s="17"/>
      <c r="B9" s="39" t="str">
        <f>"Thursday"&amp;CHAR(10)&amp;TEXT(MONTH_START+10,"d mmm")</f>
        <v>Thursday
27 Aug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17"/>
      <c r="AZ9" s="29" t="s">
        <v>68</v>
      </c>
      <c r="BA9" s="30"/>
      <c r="BB9" s="25"/>
      <c r="BC9" s="17"/>
      <c r="BD9" s="41" t="s">
        <v>69</v>
      </c>
      <c r="BE9" s="37">
        <f>COUNTIF($C$10:$AX$10,"codding")*0.5</f>
        <v>0</v>
      </c>
      <c r="BF9" s="37">
        <f>COUNTIF($C$10:$AX$10,"learn-prog")*0.5</f>
        <v>0</v>
      </c>
      <c r="BG9" s="37">
        <f>COUNTIF($C$10:$AX$10,"En-book")*0.5</f>
        <v>0</v>
      </c>
      <c r="BH9" s="37">
        <f>COUNTIF($C$10:$AX$10,"En-listening")*0.5</f>
        <v>0</v>
      </c>
      <c r="BI9" s="37">
        <f>COUNTIF($C$10:$AX$10,"Run")*0.5</f>
        <v>0</v>
      </c>
      <c r="BJ9" s="37">
        <f>COUNTIF($C$10:$AX$10,"Gym")*0.5</f>
        <v>0</v>
      </c>
      <c r="BK9" s="37">
        <f>COUNTIF($C$10:$AX$10,"work")*0.5</f>
        <v>0</v>
      </c>
      <c r="BL9" s="37">
        <f>COUNTIF($C$10:$AX$10,"Meditation")*0.5</f>
        <v>0</v>
      </c>
      <c r="BM9" s="37">
        <f>COUNTIF($C$10:$AX$10,"Setar")*0.5</f>
        <v>0</v>
      </c>
      <c r="BN9" s="37">
        <f>COUNTIF($C$10:$AX$10,"Personal Tasks")*0.5</f>
        <v>0</v>
      </c>
      <c r="BO9" s="37">
        <f>COUNTIF($C$10:$AX$10,"Wasted Time")*0.5</f>
        <v>0</v>
      </c>
      <c r="BP9" s="37">
        <f>COUNTIF($C$10:$AX$10,"Sleep")*0.5</f>
        <v>0</v>
      </c>
      <c r="BQ9" s="38">
        <f t="shared" si="1"/>
        <v>0</v>
      </c>
      <c r="BR9" s="17"/>
    </row>
    <row r="10" ht="27.0" customHeight="1">
      <c r="A10" s="17"/>
      <c r="B10" s="42" t="str">
        <f>"Friday"&amp;CHAR(10)&amp;TEXT(MONTH_START+11,"d mmm")</f>
        <v>Friday
28 Aug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17"/>
      <c r="AZ10" s="34" t="b">
        <v>0</v>
      </c>
      <c r="BA10" s="35"/>
      <c r="BB10" s="35"/>
      <c r="BC10" s="17"/>
      <c r="BD10" s="36" t="s">
        <v>70</v>
      </c>
      <c r="BE10" s="37">
        <f>COUNTIF($C$11:$AX$11,"codding")*0.5</f>
        <v>0</v>
      </c>
      <c r="BF10" s="37">
        <f>COUNTIF($C$11:$AX$11,"learn-prog")*0.5</f>
        <v>0</v>
      </c>
      <c r="BG10" s="37">
        <f>COUNTIF($C$11:$AX$11,"En-book")*0.5</f>
        <v>0</v>
      </c>
      <c r="BH10" s="37">
        <f>COUNTIF($C$11:$AX$11,"En-listening")*0.5</f>
        <v>0</v>
      </c>
      <c r="BI10" s="37">
        <f>COUNTIF($C$11:$AX$11,"Run")*0.5</f>
        <v>0</v>
      </c>
      <c r="BJ10" s="37">
        <f>COUNTIF($C$11:$AX$11,"Gym")*0.5</f>
        <v>0</v>
      </c>
      <c r="BK10" s="37">
        <f>COUNTIF($C$11:$AX$11,"work")*0.5</f>
        <v>0</v>
      </c>
      <c r="BL10" s="37">
        <f>COUNTIF($C$11:$AX$11,"Meditation")*0.5</f>
        <v>0</v>
      </c>
      <c r="BM10" s="37">
        <f>COUNTIF($C$11:$AX$11,"Setar")*0.5</f>
        <v>0</v>
      </c>
      <c r="BN10" s="37">
        <f>COUNTIF($C$11:$AX$11,"Personal Tasks")*0.5</f>
        <v>0</v>
      </c>
      <c r="BO10" s="37">
        <f>COUNTIF($C$11:$AX$11,"Wasted Time")*0.5</f>
        <v>0</v>
      </c>
      <c r="BP10" s="37">
        <f>COUNTIF($C$11:$AX$11,"Sleep")*0.5</f>
        <v>0</v>
      </c>
      <c r="BQ10" s="38">
        <f t="shared" si="1"/>
        <v>0</v>
      </c>
      <c r="BR10" s="17"/>
    </row>
    <row r="11" ht="27.0" customHeight="1">
      <c r="A11" s="17"/>
      <c r="B11" s="39" t="str">
        <f>"Saturday"&amp;CHAR(10)&amp;TEXT(MONTH_START+12,"d mmm")</f>
        <v>Saturday
29 Aug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17"/>
      <c r="AZ11" s="34" t="b">
        <v>0</v>
      </c>
      <c r="BA11" s="35"/>
      <c r="BB11" s="35"/>
      <c r="BC11" s="17"/>
      <c r="BD11" s="36" t="s">
        <v>71</v>
      </c>
      <c r="BE11" s="37">
        <f>COUNTIF($C$12:$AX$12,"codding")*0.5</f>
        <v>0</v>
      </c>
      <c r="BF11" s="37">
        <f>COUNTIF($C$12:$AX$12,"learn-prog")*0.5</f>
        <v>0</v>
      </c>
      <c r="BG11" s="37">
        <f>COUNTIF($C$12:$AX$12,"En-book")*0.5</f>
        <v>0</v>
      </c>
      <c r="BH11" s="37">
        <f>COUNTIF($C$12:$AX$12,"En-listening")*0.5</f>
        <v>0</v>
      </c>
      <c r="BI11" s="37">
        <f>COUNTIF($C$12:$AX$12,"Run")*0.5</f>
        <v>0</v>
      </c>
      <c r="BJ11" s="37">
        <f>COUNTIF($C$12:$AX$12,"Gym")*0.5</f>
        <v>0</v>
      </c>
      <c r="BK11" s="37">
        <f>COUNTIF($C$12:$AX$12,"work")*0.5</f>
        <v>0</v>
      </c>
      <c r="BL11" s="37">
        <f>COUNTIF($C$12:$AX$12,"Meditation")*0.5</f>
        <v>0</v>
      </c>
      <c r="BM11" s="37">
        <f>COUNTIF($C$12:$AX$12,"Setar")*0.5</f>
        <v>0</v>
      </c>
      <c r="BN11" s="37">
        <f>COUNTIF($C$12:$AX$12,"Personal Tasks")*0.5</f>
        <v>0</v>
      </c>
      <c r="BO11" s="37">
        <f>COUNTIF($C$12:$AX$12,"Wasted Time")*0.5</f>
        <v>0</v>
      </c>
      <c r="BP11" s="37">
        <f>COUNTIF($C$12:$AX$12,"Sleep")*0.5</f>
        <v>0</v>
      </c>
      <c r="BQ11" s="38">
        <f t="shared" si="1"/>
        <v>0</v>
      </c>
      <c r="BR11" s="17"/>
    </row>
    <row r="12" ht="27.0" customHeight="1">
      <c r="A12" s="17"/>
      <c r="B12" s="39" t="str">
        <f>"Sunday"&amp;CHAR(10)&amp;TEXT(MONTH_START+13,"d mmm")</f>
        <v>Sunday
30 Aug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17"/>
      <c r="AZ12" s="34" t="b">
        <v>0</v>
      </c>
      <c r="BA12" s="35"/>
      <c r="BB12" s="35"/>
      <c r="BC12" s="17"/>
      <c r="BD12" s="43" t="s">
        <v>72</v>
      </c>
      <c r="BE12" s="44">
        <f t="shared" ref="BE12:BQ12" si="2">SUM(BE5:BE11)</f>
        <v>0</v>
      </c>
      <c r="BF12" s="44">
        <f t="shared" si="2"/>
        <v>0</v>
      </c>
      <c r="BG12" s="44">
        <f t="shared" si="2"/>
        <v>0</v>
      </c>
      <c r="BH12" s="44">
        <f t="shared" si="2"/>
        <v>0</v>
      </c>
      <c r="BI12" s="44">
        <f t="shared" si="2"/>
        <v>0</v>
      </c>
      <c r="BJ12" s="44">
        <f t="shared" si="2"/>
        <v>0</v>
      </c>
      <c r="BK12" s="44">
        <f t="shared" si="2"/>
        <v>0</v>
      </c>
      <c r="BL12" s="44">
        <f t="shared" si="2"/>
        <v>0</v>
      </c>
      <c r="BM12" s="44">
        <f t="shared" si="2"/>
        <v>0</v>
      </c>
      <c r="BN12" s="44">
        <f t="shared" si="2"/>
        <v>0</v>
      </c>
      <c r="BO12" s="44">
        <f t="shared" si="2"/>
        <v>0</v>
      </c>
      <c r="BP12" s="44">
        <f t="shared" si="2"/>
        <v>0</v>
      </c>
      <c r="BQ12" s="44">
        <f t="shared" si="2"/>
        <v>0</v>
      </c>
      <c r="BR12" s="17"/>
    </row>
    <row r="13" ht="18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34" t="b">
        <v>0</v>
      </c>
      <c r="BA13" s="35"/>
      <c r="BB13" s="35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</row>
    <row r="14" ht="22.5" customHeight="1">
      <c r="A14" s="17"/>
      <c r="B14" s="45" t="s">
        <v>73</v>
      </c>
      <c r="C14" s="46" t="s">
        <v>47</v>
      </c>
      <c r="G14" s="47" t="s">
        <v>49</v>
      </c>
      <c r="K14" s="48" t="s">
        <v>50</v>
      </c>
      <c r="O14" s="49" t="s">
        <v>51</v>
      </c>
      <c r="S14" s="50" t="s">
        <v>52</v>
      </c>
      <c r="W14" s="51" t="s">
        <v>53</v>
      </c>
      <c r="AA14" s="52" t="s">
        <v>54</v>
      </c>
      <c r="AE14" s="53" t="s">
        <v>55</v>
      </c>
      <c r="AI14" s="54" t="s">
        <v>56</v>
      </c>
      <c r="AM14" s="55" t="s">
        <v>57</v>
      </c>
      <c r="AQ14" s="56" t="s">
        <v>58</v>
      </c>
      <c r="AU14" s="57" t="s">
        <v>59</v>
      </c>
      <c r="AY14" s="17"/>
      <c r="AZ14" s="29" t="s">
        <v>74</v>
      </c>
      <c r="BA14" s="30"/>
      <c r="BB14" s="25"/>
      <c r="BC14" s="17"/>
      <c r="BD14" s="58" t="s">
        <v>75</v>
      </c>
      <c r="BR14" s="17"/>
    </row>
    <row r="15" ht="18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34" t="b">
        <v>0</v>
      </c>
      <c r="BA15" s="35"/>
      <c r="BB15" s="35"/>
      <c r="BC15" s="17"/>
      <c r="BD15" s="59" t="s">
        <v>76</v>
      </c>
      <c r="BH15" s="17"/>
      <c r="BI15" s="59" t="s">
        <v>77</v>
      </c>
      <c r="BL15" s="17"/>
      <c r="BM15" s="59" t="s">
        <v>78</v>
      </c>
      <c r="BQ15" s="17"/>
      <c r="BR15" s="17"/>
    </row>
    <row r="16" ht="22.5" customHeight="1">
      <c r="A16" s="17"/>
      <c r="B16" s="58" t="s">
        <v>79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34" t="b">
        <v>0</v>
      </c>
      <c r="BA16" s="35"/>
      <c r="BB16" s="35"/>
      <c r="BC16" s="17"/>
      <c r="BD16" s="60" t="str">
        <f t="array" ref="BD16">IF(AND(TODAY()&gt;=MONTH_START+7,TODAY()&lt;=MONTH_START+13),INDEX($BE$20:$BE$26,TODAY()-(MONTH_START+7)+1),"—")</f>
        <v>—</v>
      </c>
      <c r="BH16" s="17"/>
      <c r="BI16" s="60">
        <f>$BE$27</f>
        <v>0</v>
      </c>
      <c r="BL16" s="17"/>
      <c r="BM16" s="60">
        <f>$BE$28</f>
        <v>0</v>
      </c>
      <c r="BQ16" s="17"/>
      <c r="BR16" s="17"/>
    </row>
    <row r="17">
      <c r="A17" s="17"/>
      <c r="B17" s="61" t="s">
        <v>0</v>
      </c>
      <c r="C17" s="30"/>
      <c r="D17" s="30"/>
      <c r="E17" s="25"/>
      <c r="F17" s="61" t="s">
        <v>80</v>
      </c>
      <c r="G17" s="30"/>
      <c r="H17" s="25"/>
      <c r="I17" s="61" t="s">
        <v>81</v>
      </c>
      <c r="J17" s="30"/>
      <c r="K17" s="25"/>
      <c r="L17" s="61" t="s">
        <v>82</v>
      </c>
      <c r="M17" s="30"/>
      <c r="N17" s="30"/>
      <c r="O17" s="30"/>
      <c r="P17" s="30"/>
      <c r="Q17" s="30"/>
      <c r="R17" s="25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34" t="b">
        <v>0</v>
      </c>
      <c r="BA17" s="35"/>
      <c r="BB17" s="35"/>
      <c r="BC17" s="17"/>
      <c r="BH17" s="17"/>
      <c r="BL17" s="17"/>
      <c r="BQ17" s="17"/>
      <c r="BR17" s="17"/>
    </row>
    <row r="18" ht="18.0" customHeight="1">
      <c r="A18" s="17"/>
      <c r="B18" s="62" t="s">
        <v>47</v>
      </c>
      <c r="C18" s="30"/>
      <c r="D18" s="30"/>
      <c r="E18" s="25"/>
      <c r="F18" s="63">
        <f>COUNTIF($C$6:$AX$12,"codding")*0.5</f>
        <v>0</v>
      </c>
      <c r="G18" s="30"/>
      <c r="H18" s="25"/>
      <c r="I18" s="64">
        <f>$F$18/168</f>
        <v>0</v>
      </c>
      <c r="J18" s="30"/>
      <c r="K18" s="25"/>
      <c r="L18" s="65" t="str">
        <f>IFERROR(__xludf.DUMMYFUNCTION("IFERROR(SPARKLINE($F$18,{""charttype"",""bar"";""max"",MAX($F$18:$F$29)+0.0001;""color1"",""#057c31""}),"""")"),"")</f>
        <v/>
      </c>
      <c r="M18" s="30"/>
      <c r="N18" s="30"/>
      <c r="O18" s="30"/>
      <c r="P18" s="30"/>
      <c r="Q18" s="30"/>
      <c r="R18" s="25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34" t="b">
        <v>0</v>
      </c>
      <c r="BA18" s="35"/>
      <c r="BB18" s="35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</row>
    <row r="19" ht="18.0" customHeight="1">
      <c r="A19" s="17"/>
      <c r="B19" s="62" t="s">
        <v>49</v>
      </c>
      <c r="C19" s="30"/>
      <c r="D19" s="30"/>
      <c r="E19" s="25"/>
      <c r="F19" s="63">
        <f>COUNTIF($C$6:$AX$12,"learn-prog")*0.5</f>
        <v>0</v>
      </c>
      <c r="G19" s="30"/>
      <c r="H19" s="25"/>
      <c r="I19" s="64">
        <f>$F$19/168</f>
        <v>0</v>
      </c>
      <c r="J19" s="30"/>
      <c r="K19" s="25"/>
      <c r="L19" s="65" t="str">
        <f>IFERROR(__xludf.DUMMYFUNCTION("IFERROR(SPARKLINE($F$19,{""charttype"",""bar"";""max"",MAX($F$18:$F$29)+0.0001;""color1"",""#86EFAC""}),"""")"),"")</f>
        <v/>
      </c>
      <c r="M19" s="30"/>
      <c r="N19" s="30"/>
      <c r="O19" s="30"/>
      <c r="P19" s="30"/>
      <c r="Q19" s="30"/>
      <c r="R19" s="25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29" t="s">
        <v>83</v>
      </c>
      <c r="BA19" s="30"/>
      <c r="BB19" s="25"/>
      <c r="BC19" s="17"/>
      <c r="BD19" s="66" t="s">
        <v>46</v>
      </c>
      <c r="BE19" s="66" t="s">
        <v>84</v>
      </c>
      <c r="BF19" s="67" t="s">
        <v>85</v>
      </c>
      <c r="BG19" s="30"/>
      <c r="BH19" s="25"/>
      <c r="BI19" s="17"/>
      <c r="BJ19" s="17"/>
      <c r="BK19" s="17"/>
      <c r="BL19" s="17"/>
      <c r="BM19" s="17"/>
      <c r="BN19" s="17"/>
      <c r="BO19" s="17"/>
      <c r="BP19" s="17"/>
      <c r="BQ19" s="17"/>
      <c r="BR19" s="17"/>
    </row>
    <row r="20" ht="18.0" customHeight="1">
      <c r="A20" s="17"/>
      <c r="B20" s="62" t="s">
        <v>50</v>
      </c>
      <c r="C20" s="30"/>
      <c r="D20" s="30"/>
      <c r="E20" s="25"/>
      <c r="F20" s="63">
        <f>COUNTIF($C$6:$AX$12,"En-book")*0.5</f>
        <v>0</v>
      </c>
      <c r="G20" s="30"/>
      <c r="H20" s="25"/>
      <c r="I20" s="64">
        <f>$F$20/168</f>
        <v>0</v>
      </c>
      <c r="J20" s="30"/>
      <c r="K20" s="25"/>
      <c r="L20" s="65" t="str">
        <f>IFERROR(__xludf.DUMMYFUNCTION("IFERROR(SPARKLINE($F$20,{""charttype"",""bar"";""max"",MAX($F$18:$F$29)+0.0001;""color1"",""#2563EB""}),"""")"),"")</f>
        <v/>
      </c>
      <c r="M20" s="30"/>
      <c r="N20" s="30"/>
      <c r="O20" s="30"/>
      <c r="P20" s="30"/>
      <c r="Q20" s="30"/>
      <c r="R20" s="25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34" t="b">
        <v>0</v>
      </c>
      <c r="BA20" s="35"/>
      <c r="BB20" s="35"/>
      <c r="BC20" s="17"/>
      <c r="BD20" s="36" t="s">
        <v>62</v>
      </c>
      <c r="BE20" s="38">
        <f t="shared" ref="BE20:BE26" si="3">SUM(BE5:BK5)</f>
        <v>0</v>
      </c>
      <c r="BF20" s="65" t="str">
        <f>IFERROR(__xludf.DUMMYFUNCTION("IFERROR(SPARKLINE($BE20,{""charttype"",""bar"";""max"",MAX($BE$20:$BE$26)+0.0001;""color1"",""#0D9488""}),"""")"),"")</f>
        <v/>
      </c>
      <c r="BG20" s="30"/>
      <c r="BH20" s="25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 ht="18.0" customHeight="1">
      <c r="A21" s="17"/>
      <c r="B21" s="62" t="s">
        <v>51</v>
      </c>
      <c r="C21" s="30"/>
      <c r="D21" s="30"/>
      <c r="E21" s="25"/>
      <c r="F21" s="63">
        <f>COUNTIF($C$6:$AX$12,"En-listening")*0.5</f>
        <v>0</v>
      </c>
      <c r="G21" s="30"/>
      <c r="H21" s="25"/>
      <c r="I21" s="64">
        <f>$F$21/168</f>
        <v>0</v>
      </c>
      <c r="J21" s="30"/>
      <c r="K21" s="25"/>
      <c r="L21" s="65" t="str">
        <f>IFERROR(__xludf.DUMMYFUNCTION("IFERROR(SPARKLINE($F$21,{""charttype"",""bar"";""max"",MAX($F$18:$F$29)+0.0001;""color1"",""#93C5FD""}),"""")"),"")</f>
        <v/>
      </c>
      <c r="M21" s="30"/>
      <c r="N21" s="30"/>
      <c r="O21" s="30"/>
      <c r="P21" s="30"/>
      <c r="Q21" s="30"/>
      <c r="R21" s="25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34" t="b">
        <v>0</v>
      </c>
      <c r="BA21" s="35"/>
      <c r="BB21" s="35"/>
      <c r="BC21" s="17"/>
      <c r="BD21" s="36" t="s">
        <v>65</v>
      </c>
      <c r="BE21" s="38">
        <f t="shared" si="3"/>
        <v>0</v>
      </c>
      <c r="BF21" s="65" t="str">
        <f>IFERROR(__xludf.DUMMYFUNCTION("IFERROR(SPARKLINE($BE21,{""charttype"",""bar"";""max"",MAX($BE$20:$BE$26)+0.0001;""color1"",""#0D9488""}),"""")"),"")</f>
        <v/>
      </c>
      <c r="BG21" s="30"/>
      <c r="BH21" s="25"/>
      <c r="BI21" s="17"/>
      <c r="BJ21" s="17"/>
      <c r="BK21" s="17"/>
      <c r="BL21" s="17"/>
      <c r="BM21" s="17"/>
      <c r="BN21" s="17"/>
      <c r="BO21" s="17"/>
      <c r="BP21" s="17"/>
      <c r="BQ21" s="17"/>
      <c r="BR21" s="17"/>
    </row>
    <row r="22" ht="18.0" customHeight="1">
      <c r="A22" s="17"/>
      <c r="B22" s="62" t="s">
        <v>52</v>
      </c>
      <c r="C22" s="30"/>
      <c r="D22" s="30"/>
      <c r="E22" s="25"/>
      <c r="F22" s="63">
        <f>COUNTIF($C$6:$AX$12,"Run")*0.5</f>
        <v>0</v>
      </c>
      <c r="G22" s="30"/>
      <c r="H22" s="25"/>
      <c r="I22" s="64">
        <f>$F$22/168</f>
        <v>0</v>
      </c>
      <c r="J22" s="30"/>
      <c r="K22" s="25"/>
      <c r="L22" s="65" t="str">
        <f>IFERROR(__xludf.DUMMYFUNCTION("IFERROR(SPARKLINE($F$22,{""charttype"",""bar"";""max"",MAX($F$18:$F$29)+0.0001;""color1"",""#EA580C""}),"""")"),"")</f>
        <v/>
      </c>
      <c r="M22" s="30"/>
      <c r="N22" s="30"/>
      <c r="O22" s="30"/>
      <c r="P22" s="30"/>
      <c r="Q22" s="30"/>
      <c r="R22" s="25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34" t="b">
        <v>0</v>
      </c>
      <c r="BA22" s="35"/>
      <c r="BB22" s="35"/>
      <c r="BC22" s="17"/>
      <c r="BD22" s="36" t="s">
        <v>66</v>
      </c>
      <c r="BE22" s="38">
        <f t="shared" si="3"/>
        <v>0</v>
      </c>
      <c r="BF22" s="65" t="str">
        <f>IFERROR(__xludf.DUMMYFUNCTION("IFERROR(SPARKLINE($BE22,{""charttype"",""bar"";""max"",MAX($BE$20:$BE$26)+0.0001;""color1"",""#0D9488""}),"""")"),"")</f>
        <v/>
      </c>
      <c r="BG22" s="30"/>
      <c r="BH22" s="25"/>
      <c r="BI22" s="17"/>
      <c r="BJ22" s="17"/>
      <c r="BK22" s="17"/>
      <c r="BL22" s="17"/>
      <c r="BM22" s="17"/>
      <c r="BN22" s="17"/>
      <c r="BO22" s="17"/>
      <c r="BP22" s="17"/>
      <c r="BQ22" s="17"/>
      <c r="BR22" s="17"/>
    </row>
    <row r="23" ht="18.0" customHeight="1">
      <c r="A23" s="17"/>
      <c r="B23" s="62" t="s">
        <v>53</v>
      </c>
      <c r="C23" s="30"/>
      <c r="D23" s="30"/>
      <c r="E23" s="25"/>
      <c r="F23" s="63">
        <f>COUNTIF($C$6:$AX$12,"Gym")*0.5</f>
        <v>0</v>
      </c>
      <c r="G23" s="30"/>
      <c r="H23" s="25"/>
      <c r="I23" s="64">
        <f>$F$23/168</f>
        <v>0</v>
      </c>
      <c r="J23" s="30"/>
      <c r="K23" s="25"/>
      <c r="L23" s="65" t="str">
        <f>IFERROR(__xludf.DUMMYFUNCTION("IFERROR(SPARKLINE($F$23,{""charttype"",""bar"";""max"",MAX($F$18:$F$29)+0.0001;""color1"",""#FDBA74""}),"""")"),"")</f>
        <v/>
      </c>
      <c r="M23" s="30"/>
      <c r="N23" s="30"/>
      <c r="O23" s="30"/>
      <c r="P23" s="30"/>
      <c r="Q23" s="30"/>
      <c r="R23" s="25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34" t="b">
        <v>0</v>
      </c>
      <c r="BA23" s="35"/>
      <c r="BB23" s="35"/>
      <c r="BC23" s="17"/>
      <c r="BD23" s="36" t="s">
        <v>67</v>
      </c>
      <c r="BE23" s="38">
        <f t="shared" si="3"/>
        <v>0</v>
      </c>
      <c r="BF23" s="65" t="str">
        <f>IFERROR(__xludf.DUMMYFUNCTION("IFERROR(SPARKLINE($BE23,{""charttype"",""bar"";""max"",MAX($BE$20:$BE$26)+0.0001;""color1"",""#0D9488""}),"""")"),"")</f>
        <v/>
      </c>
      <c r="BG23" s="30"/>
      <c r="BH23" s="25"/>
      <c r="BI23" s="17"/>
      <c r="BJ23" s="17"/>
      <c r="BK23" s="17"/>
      <c r="BL23" s="17"/>
      <c r="BM23" s="17"/>
      <c r="BN23" s="17"/>
      <c r="BO23" s="17"/>
      <c r="BP23" s="17"/>
      <c r="BQ23" s="17"/>
      <c r="BR23" s="17"/>
    </row>
    <row r="24" ht="18.0" customHeight="1">
      <c r="A24" s="17"/>
      <c r="B24" s="62" t="s">
        <v>54</v>
      </c>
      <c r="C24" s="30"/>
      <c r="D24" s="30"/>
      <c r="E24" s="25"/>
      <c r="F24" s="63">
        <f>COUNTIF($C$6:$AX$12,"work")*0.5</f>
        <v>0</v>
      </c>
      <c r="G24" s="30"/>
      <c r="H24" s="25"/>
      <c r="I24" s="64">
        <f>$F$24/168</f>
        <v>0</v>
      </c>
      <c r="J24" s="30"/>
      <c r="K24" s="25"/>
      <c r="L24" s="65" t="str">
        <f>IFERROR(__xludf.DUMMYFUNCTION("IFERROR(SPARKLINE($F$24,{""charttype"",""bar"";""max"",MAX($F$18:$F$29)+0.0001;""color1"",""#89fd05""}),"""")"),"")</f>
        <v/>
      </c>
      <c r="M24" s="30"/>
      <c r="N24" s="30"/>
      <c r="O24" s="30"/>
      <c r="P24" s="30"/>
      <c r="Q24" s="30"/>
      <c r="R24" s="25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8" t="s">
        <v>86</v>
      </c>
      <c r="BA24" s="30"/>
      <c r="BB24" s="25"/>
      <c r="BC24" s="17"/>
      <c r="BD24" s="41" t="s">
        <v>69</v>
      </c>
      <c r="BE24" s="38">
        <f t="shared" si="3"/>
        <v>0</v>
      </c>
      <c r="BF24" s="65" t="str">
        <f>IFERROR(__xludf.DUMMYFUNCTION("IFERROR(SPARKLINE($BE24,{""charttype"",""bar"";""max"",MAX($BE$20:$BE$26)+0.0001;""color1"",""#0D9488""}),"""")"),"")</f>
        <v/>
      </c>
      <c r="BG24" s="30"/>
      <c r="BH24" s="25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ht="18.0" customHeight="1">
      <c r="A25" s="17"/>
      <c r="B25" s="62" t="s">
        <v>55</v>
      </c>
      <c r="C25" s="30"/>
      <c r="D25" s="30"/>
      <c r="E25" s="25"/>
      <c r="F25" s="63">
        <f>COUNTIF($C$6:$AX$12,"Meditation")*0.5</f>
        <v>0</v>
      </c>
      <c r="G25" s="30"/>
      <c r="H25" s="25"/>
      <c r="I25" s="64">
        <f>$F$25/168</f>
        <v>0</v>
      </c>
      <c r="J25" s="30"/>
      <c r="K25" s="25"/>
      <c r="L25" s="65" t="str">
        <f>IFERROR(__xludf.DUMMYFUNCTION("IFERROR(SPARKLINE($F$25,{""charttype"",""bar"";""max"",MAX($F$18:$F$29)+0.0001;""color1"",""#8e029b""}),"""")"),"")</f>
        <v/>
      </c>
      <c r="M25" s="30"/>
      <c r="N25" s="30"/>
      <c r="O25" s="30"/>
      <c r="P25" s="30"/>
      <c r="Q25" s="30"/>
      <c r="R25" s="25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34" t="b">
        <v>0</v>
      </c>
      <c r="BA25" s="35"/>
      <c r="BB25" s="35"/>
      <c r="BC25" s="17"/>
      <c r="BD25" s="36" t="s">
        <v>70</v>
      </c>
      <c r="BE25" s="38">
        <f t="shared" si="3"/>
        <v>0</v>
      </c>
      <c r="BF25" s="65" t="str">
        <f>IFERROR(__xludf.DUMMYFUNCTION("IFERROR(SPARKLINE($BE25,{""charttype"",""bar"";""max"",MAX($BE$20:$BE$26)+0.0001;""color1"",""#0D9488""}),"""")"),"")</f>
        <v/>
      </c>
      <c r="BG25" s="30"/>
      <c r="BH25" s="25"/>
      <c r="BI25" s="17"/>
      <c r="BJ25" s="17"/>
      <c r="BK25" s="17"/>
      <c r="BL25" s="17"/>
      <c r="BM25" s="17"/>
      <c r="BN25" s="17"/>
      <c r="BO25" s="17"/>
      <c r="BP25" s="17"/>
      <c r="BQ25" s="17"/>
      <c r="BR25" s="17"/>
    </row>
    <row r="26" ht="18.0" customHeight="1">
      <c r="A26" s="17"/>
      <c r="B26" s="62" t="s">
        <v>56</v>
      </c>
      <c r="C26" s="30"/>
      <c r="D26" s="30"/>
      <c r="E26" s="25"/>
      <c r="F26" s="63">
        <f>COUNTIF($C$6:$AX$12,"Setar")*0.5</f>
        <v>0</v>
      </c>
      <c r="G26" s="30"/>
      <c r="H26" s="25"/>
      <c r="I26" s="64">
        <f>$F$26/168</f>
        <v>0</v>
      </c>
      <c r="J26" s="30"/>
      <c r="K26" s="25"/>
      <c r="L26" s="65" t="str">
        <f>IFERROR(__xludf.DUMMYFUNCTION("IFERROR(SPARKLINE($F$26,{""charttype"",""bar"";""max"",MAX($F$18:$F$29)+0.0001;""color1"",""#da87de""}),"""")"),"")</f>
        <v/>
      </c>
      <c r="M26" s="30"/>
      <c r="N26" s="30"/>
      <c r="O26" s="30"/>
      <c r="P26" s="30"/>
      <c r="Q26" s="30"/>
      <c r="R26" s="25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34" t="b">
        <v>0</v>
      </c>
      <c r="BA26" s="35"/>
      <c r="BB26" s="35"/>
      <c r="BC26" s="17"/>
      <c r="BD26" s="36" t="s">
        <v>71</v>
      </c>
      <c r="BE26" s="38">
        <f t="shared" si="3"/>
        <v>0</v>
      </c>
      <c r="BF26" s="65" t="str">
        <f>IFERROR(__xludf.DUMMYFUNCTION("IFERROR(SPARKLINE($BE26,{""charttype"",""bar"";""max"",MAX($BE$20:$BE$26)+0.0001;""color1"",""#0D9488""}),"""")"),"")</f>
        <v/>
      </c>
      <c r="BG26" s="30"/>
      <c r="BH26" s="25"/>
      <c r="BI26" s="17"/>
      <c r="BJ26" s="17"/>
      <c r="BK26" s="17"/>
      <c r="BL26" s="17"/>
      <c r="BM26" s="17"/>
      <c r="BN26" s="17"/>
      <c r="BO26" s="17"/>
      <c r="BP26" s="17"/>
      <c r="BQ26" s="17"/>
      <c r="BR26" s="17"/>
    </row>
    <row r="27" ht="18.0" customHeight="1">
      <c r="A27" s="17"/>
      <c r="B27" s="62" t="s">
        <v>57</v>
      </c>
      <c r="C27" s="30"/>
      <c r="D27" s="30"/>
      <c r="E27" s="25"/>
      <c r="F27" s="63">
        <f>COUNTIF($C$6:$AX$12,"Personal Tasks")*0.5</f>
        <v>0</v>
      </c>
      <c r="G27" s="30"/>
      <c r="H27" s="25"/>
      <c r="I27" s="64">
        <f>$F$27/168</f>
        <v>0</v>
      </c>
      <c r="J27" s="30"/>
      <c r="K27" s="25"/>
      <c r="L27" s="65" t="str">
        <f>IFERROR(__xludf.DUMMYFUNCTION("IFERROR(SPARKLINE($F$27,{""charttype"",""bar"";""max"",MAX($F$18:$F$29)+0.0001;""color1"",""#eeeeee""}),"""")"),"")</f>
        <v/>
      </c>
      <c r="M27" s="30"/>
      <c r="N27" s="30"/>
      <c r="O27" s="30"/>
      <c r="P27" s="30"/>
      <c r="Q27" s="30"/>
      <c r="R27" s="25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34" t="b">
        <v>0</v>
      </c>
      <c r="BA27" s="35"/>
      <c r="BB27" s="35"/>
      <c r="BC27" s="17"/>
      <c r="BD27" s="43" t="s">
        <v>72</v>
      </c>
      <c r="BE27" s="44">
        <f>SUM(BE20:BE26)</f>
        <v>0</v>
      </c>
      <c r="BF27" s="69"/>
      <c r="BG27" s="30"/>
      <c r="BH27" s="25"/>
      <c r="BI27" s="17"/>
      <c r="BJ27" s="17"/>
      <c r="BK27" s="17"/>
      <c r="BL27" s="17"/>
      <c r="BM27" s="17"/>
      <c r="BN27" s="17"/>
      <c r="BO27" s="17"/>
      <c r="BP27" s="17"/>
      <c r="BQ27" s="17"/>
      <c r="BR27" s="17"/>
    </row>
    <row r="28" ht="18.0" customHeight="1">
      <c r="A28" s="17"/>
      <c r="B28" s="62" t="s">
        <v>58</v>
      </c>
      <c r="C28" s="30"/>
      <c r="D28" s="30"/>
      <c r="E28" s="25"/>
      <c r="F28" s="63">
        <f>COUNTIF($C$6:$AX$12,"Wasted Time")*0.5</f>
        <v>0</v>
      </c>
      <c r="G28" s="30"/>
      <c r="H28" s="25"/>
      <c r="I28" s="64">
        <f>$F$28/168</f>
        <v>0</v>
      </c>
      <c r="J28" s="30"/>
      <c r="K28" s="25"/>
      <c r="L28" s="65" t="str">
        <f>IFERROR(__xludf.DUMMYFUNCTION("IFERROR(SPARKLINE($F$28,{""charttype"",""bar"";""max"",MAX($F$18:$F$29)+0.0001;""color1"",""#ff1500""}),"""")"),"")</f>
        <v/>
      </c>
      <c r="M28" s="30"/>
      <c r="N28" s="30"/>
      <c r="O28" s="30"/>
      <c r="P28" s="30"/>
      <c r="Q28" s="30"/>
      <c r="R28" s="25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34" t="b">
        <v>0</v>
      </c>
      <c r="BA28" s="35"/>
      <c r="BB28" s="35"/>
      <c r="BC28" s="17"/>
      <c r="BD28" s="70" t="s">
        <v>87</v>
      </c>
      <c r="BE28" s="71">
        <f>BE27/7</f>
        <v>0</v>
      </c>
      <c r="BF28" s="72"/>
      <c r="BG28" s="30"/>
      <c r="BH28" s="25"/>
      <c r="BI28" s="17"/>
      <c r="BJ28" s="17"/>
      <c r="BK28" s="17"/>
      <c r="BL28" s="17"/>
      <c r="BM28" s="17"/>
      <c r="BN28" s="17"/>
      <c r="BO28" s="17"/>
      <c r="BP28" s="17"/>
      <c r="BQ28" s="17"/>
      <c r="BR28" s="17"/>
    </row>
    <row r="29" ht="18.0" customHeight="1">
      <c r="A29" s="17"/>
      <c r="B29" s="62" t="s">
        <v>59</v>
      </c>
      <c r="C29" s="30"/>
      <c r="D29" s="30"/>
      <c r="E29" s="25"/>
      <c r="F29" s="63">
        <f>COUNTIF($C$6:$AX$12,"Sleep")*0.5</f>
        <v>0</v>
      </c>
      <c r="G29" s="30"/>
      <c r="H29" s="25"/>
      <c r="I29" s="64">
        <f>$F$29/168</f>
        <v>0</v>
      </c>
      <c r="J29" s="30"/>
      <c r="K29" s="25"/>
      <c r="L29" s="65" t="str">
        <f>IFERROR(__xludf.DUMMYFUNCTION("IFERROR(SPARKLINE($F$29,{""charttype"",""bar"";""max"",MAX($F$18:$F$29)+0.0001;""color1"",""#4e4d44""}),"""")"),"")</f>
        <v/>
      </c>
      <c r="M29" s="30"/>
      <c r="N29" s="30"/>
      <c r="O29" s="30"/>
      <c r="P29" s="30"/>
      <c r="Q29" s="30"/>
      <c r="R29" s="25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29" t="s">
        <v>88</v>
      </c>
      <c r="BA29" s="30"/>
      <c r="BB29" s="25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</row>
    <row r="30" ht="22.5" customHeight="1">
      <c r="A30" s="17"/>
      <c r="B30" s="73" t="s">
        <v>89</v>
      </c>
      <c r="C30" s="30"/>
      <c r="D30" s="30"/>
      <c r="E30" s="25"/>
      <c r="F30" s="74">
        <f>SUM($F$18:$F$29)</f>
        <v>0</v>
      </c>
      <c r="G30" s="30"/>
      <c r="H30" s="25"/>
      <c r="I30" s="75">
        <f>$F$30/168</f>
        <v>0</v>
      </c>
      <c r="J30" s="30"/>
      <c r="K30" s="25"/>
      <c r="L30" s="69"/>
      <c r="M30" s="30"/>
      <c r="N30" s="30"/>
      <c r="O30" s="30"/>
      <c r="P30" s="30"/>
      <c r="Q30" s="30"/>
      <c r="R30" s="25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34" t="b">
        <v>0</v>
      </c>
      <c r="BA30" s="35"/>
      <c r="BB30" s="35"/>
      <c r="BC30" s="17"/>
      <c r="BD30" s="58" t="s">
        <v>90</v>
      </c>
      <c r="BM30" s="17"/>
      <c r="BN30" s="17"/>
      <c r="BO30" s="17"/>
      <c r="BP30" s="17"/>
      <c r="BQ30" s="17"/>
      <c r="BR30" s="17"/>
    </row>
    <row r="31" ht="18.0" customHeight="1">
      <c r="A31" s="17"/>
      <c r="B31" s="76" t="s">
        <v>91</v>
      </c>
      <c r="C31" s="30"/>
      <c r="D31" s="30"/>
      <c r="E31" s="25"/>
      <c r="F31" s="77">
        <f>168-$F$30</f>
        <v>168</v>
      </c>
      <c r="G31" s="30"/>
      <c r="H31" s="25"/>
      <c r="I31" s="64">
        <f>$F$31/168</f>
        <v>1</v>
      </c>
      <c r="J31" s="30"/>
      <c r="K31" s="25"/>
      <c r="L31" s="72"/>
      <c r="M31" s="30"/>
      <c r="N31" s="30"/>
      <c r="O31" s="30"/>
      <c r="P31" s="30"/>
      <c r="Q31" s="30"/>
      <c r="R31" s="25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34" t="b">
        <v>0</v>
      </c>
      <c r="BA31" s="35"/>
      <c r="BB31" s="35"/>
      <c r="BC31" s="17"/>
      <c r="BD31" s="31" t="s">
        <v>92</v>
      </c>
      <c r="BE31" s="31" t="s">
        <v>62</v>
      </c>
      <c r="BF31" s="31" t="s">
        <v>65</v>
      </c>
      <c r="BG31" s="31" t="s">
        <v>66</v>
      </c>
      <c r="BH31" s="31" t="s">
        <v>67</v>
      </c>
      <c r="BI31" s="31" t="s">
        <v>69</v>
      </c>
      <c r="BJ31" s="31" t="s">
        <v>70</v>
      </c>
      <c r="BK31" s="31" t="s">
        <v>71</v>
      </c>
      <c r="BL31" s="31" t="s">
        <v>93</v>
      </c>
      <c r="BM31" s="17"/>
      <c r="BN31" s="17"/>
      <c r="BO31" s="17"/>
      <c r="BP31" s="17"/>
      <c r="BQ31" s="17"/>
      <c r="B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34" t="b">
        <v>0</v>
      </c>
      <c r="BA32" s="35"/>
      <c r="BB32" s="35"/>
      <c r="BC32" s="17"/>
      <c r="BD32" s="78" t="s">
        <v>94</v>
      </c>
      <c r="BE32" s="79"/>
      <c r="BF32" s="79"/>
      <c r="BG32" s="79"/>
      <c r="BH32" s="79"/>
      <c r="BI32" s="79"/>
      <c r="BJ32" s="79"/>
      <c r="BK32" s="79"/>
      <c r="BL32" s="80" t="str">
        <f t="shared" ref="BL32:BL38" si="4">IFERROR(AVERAGE(BE32:BK32),"—")</f>
        <v>—</v>
      </c>
      <c r="BM32" s="17"/>
      <c r="BN32" s="17"/>
      <c r="BO32" s="17"/>
      <c r="BP32" s="17"/>
      <c r="BQ32" s="17"/>
      <c r="BR32" s="17"/>
    </row>
    <row r="33" ht="22.5" customHeight="1">
      <c r="A33" s="17"/>
      <c r="B33" s="58" t="s">
        <v>95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34" t="b">
        <v>0</v>
      </c>
      <c r="BA33" s="35"/>
      <c r="BB33" s="35"/>
      <c r="BC33" s="17"/>
      <c r="BD33" s="78" t="s">
        <v>96</v>
      </c>
      <c r="BE33" s="81"/>
      <c r="BF33" s="81"/>
      <c r="BG33" s="81"/>
      <c r="BH33" s="81"/>
      <c r="BI33" s="81"/>
      <c r="BJ33" s="81"/>
      <c r="BK33" s="81"/>
      <c r="BL33" s="82" t="str">
        <f t="shared" si="4"/>
        <v>—</v>
      </c>
      <c r="BM33" s="17"/>
      <c r="BN33" s="17"/>
      <c r="BO33" s="17"/>
      <c r="BP33" s="17"/>
      <c r="BQ33" s="17"/>
      <c r="BR33" s="17"/>
    </row>
    <row r="34">
      <c r="A34" s="17"/>
      <c r="B34" s="61" t="s">
        <v>97</v>
      </c>
      <c r="C34" s="30"/>
      <c r="D34" s="30"/>
      <c r="E34" s="25"/>
      <c r="F34" s="61" t="s">
        <v>80</v>
      </c>
      <c r="G34" s="30"/>
      <c r="H34" s="25"/>
      <c r="I34" s="61" t="s">
        <v>81</v>
      </c>
      <c r="J34" s="30"/>
      <c r="K34" s="25"/>
      <c r="L34" s="61" t="s">
        <v>82</v>
      </c>
      <c r="M34" s="30"/>
      <c r="N34" s="30"/>
      <c r="O34" s="30"/>
      <c r="P34" s="30"/>
      <c r="Q34" s="30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29" t="s">
        <v>98</v>
      </c>
      <c r="BA34" s="30"/>
      <c r="BB34" s="25"/>
      <c r="BC34" s="17"/>
      <c r="BD34" s="78" t="s">
        <v>99</v>
      </c>
      <c r="BE34" s="83"/>
      <c r="BF34" s="83"/>
      <c r="BG34" s="83"/>
      <c r="BH34" s="83"/>
      <c r="BI34" s="83"/>
      <c r="BJ34" s="83"/>
      <c r="BK34" s="83"/>
      <c r="BL34" s="84" t="str">
        <f t="shared" si="4"/>
        <v>—</v>
      </c>
      <c r="BM34" s="17"/>
      <c r="BN34" s="17"/>
      <c r="BO34" s="17"/>
      <c r="BP34" s="17"/>
      <c r="BQ34" s="17"/>
      <c r="BR34" s="17"/>
    </row>
    <row r="35" ht="18.0" customHeight="1">
      <c r="A35" s="17"/>
      <c r="B35" s="62" t="s">
        <v>100</v>
      </c>
      <c r="C35" s="30"/>
      <c r="D35" s="30"/>
      <c r="E35" s="25"/>
      <c r="F35" s="63">
        <f>F18+F19</f>
        <v>0</v>
      </c>
      <c r="G35" s="30"/>
      <c r="H35" s="25"/>
      <c r="I35" s="64">
        <f>$F$35/168</f>
        <v>0</v>
      </c>
      <c r="J35" s="30"/>
      <c r="K35" s="25"/>
      <c r="L35" s="65" t="str">
        <f>IFERROR(__xludf.DUMMYFUNCTION("IFERROR(SPARKLINE($F$35,{""charttype"",""bar"";""max"",MAX($F$35:$F$42)+0.0001;""color1"",""#057c31""}),"""")"),"")</f>
        <v/>
      </c>
      <c r="M35" s="30"/>
      <c r="N35" s="30"/>
      <c r="O35" s="30"/>
      <c r="P35" s="30"/>
      <c r="Q35" s="30"/>
      <c r="R35" s="25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34" t="b">
        <v>0</v>
      </c>
      <c r="BA35" s="35"/>
      <c r="BB35" s="35"/>
      <c r="BC35" s="17"/>
      <c r="BD35" s="78" t="s">
        <v>101</v>
      </c>
      <c r="BE35" s="85"/>
      <c r="BF35" s="85"/>
      <c r="BG35" s="85"/>
      <c r="BH35" s="85"/>
      <c r="BI35" s="85"/>
      <c r="BJ35" s="85"/>
      <c r="BK35" s="85"/>
      <c r="BL35" s="86" t="str">
        <f t="shared" si="4"/>
        <v>—</v>
      </c>
      <c r="BM35" s="17"/>
      <c r="BN35" s="17"/>
      <c r="BO35" s="17"/>
      <c r="BP35" s="17"/>
      <c r="BQ35" s="17"/>
      <c r="BR35" s="17"/>
    </row>
    <row r="36" ht="18.0" customHeight="1">
      <c r="A36" s="17"/>
      <c r="B36" s="62" t="s">
        <v>102</v>
      </c>
      <c r="C36" s="30"/>
      <c r="D36" s="30"/>
      <c r="E36" s="25"/>
      <c r="F36" s="63">
        <f>F20+F21</f>
        <v>0</v>
      </c>
      <c r="G36" s="30"/>
      <c r="H36" s="25"/>
      <c r="I36" s="64">
        <f>$F$36/168</f>
        <v>0</v>
      </c>
      <c r="J36" s="30"/>
      <c r="K36" s="25"/>
      <c r="L36" s="65" t="str">
        <f>IFERROR(__xludf.DUMMYFUNCTION("IFERROR(SPARKLINE($F$36,{""charttype"",""bar"";""max"",MAX($F$35:$F$42)+0.0001;""color1"",""#2563EB""}),"""")"),"")</f>
        <v/>
      </c>
      <c r="M36" s="30"/>
      <c r="N36" s="30"/>
      <c r="O36" s="30"/>
      <c r="P36" s="30"/>
      <c r="Q36" s="30"/>
      <c r="R36" s="25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34" t="b">
        <v>0</v>
      </c>
      <c r="BA36" s="35"/>
      <c r="BB36" s="35"/>
      <c r="BC36" s="17"/>
      <c r="BD36" s="78" t="s">
        <v>103</v>
      </c>
      <c r="BE36" s="85"/>
      <c r="BF36" s="85"/>
      <c r="BG36" s="85"/>
      <c r="BH36" s="85"/>
      <c r="BI36" s="85"/>
      <c r="BJ36" s="85"/>
      <c r="BK36" s="85"/>
      <c r="BL36" s="86" t="str">
        <f t="shared" si="4"/>
        <v>—</v>
      </c>
      <c r="BM36" s="17"/>
      <c r="BN36" s="17"/>
      <c r="BO36" s="17"/>
      <c r="BP36" s="17"/>
      <c r="BQ36" s="17"/>
      <c r="BR36" s="17"/>
    </row>
    <row r="37" ht="18.0" customHeight="1">
      <c r="A37" s="17"/>
      <c r="B37" s="62" t="s">
        <v>104</v>
      </c>
      <c r="C37" s="30"/>
      <c r="D37" s="30"/>
      <c r="E37" s="25"/>
      <c r="F37" s="63">
        <f>F22+F23</f>
        <v>0</v>
      </c>
      <c r="G37" s="30"/>
      <c r="H37" s="25"/>
      <c r="I37" s="64">
        <f>$F$37/168</f>
        <v>0</v>
      </c>
      <c r="J37" s="30"/>
      <c r="K37" s="25"/>
      <c r="L37" s="65" t="str">
        <f>IFERROR(__xludf.DUMMYFUNCTION("IFERROR(SPARKLINE($F$37,{""charttype"",""bar"";""max"",MAX($F$35:$F$42)+0.0001;""color1"",""#EA580C""}),"""")"),"")</f>
        <v/>
      </c>
      <c r="M37" s="30"/>
      <c r="N37" s="30"/>
      <c r="O37" s="30"/>
      <c r="P37" s="30"/>
      <c r="Q37" s="30"/>
      <c r="R37" s="25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34" t="b">
        <v>0</v>
      </c>
      <c r="BA37" s="35"/>
      <c r="BB37" s="35"/>
      <c r="BC37" s="17"/>
      <c r="BD37" s="78" t="s">
        <v>105</v>
      </c>
      <c r="BE37" s="87"/>
      <c r="BF37" s="87"/>
      <c r="BG37" s="87"/>
      <c r="BH37" s="87"/>
      <c r="BI37" s="87"/>
      <c r="BJ37" s="87"/>
      <c r="BK37" s="87"/>
      <c r="BL37" s="88" t="str">
        <f t="shared" si="4"/>
        <v>—</v>
      </c>
      <c r="BM37" s="17"/>
      <c r="BN37" s="17"/>
      <c r="BO37" s="17"/>
      <c r="BP37" s="17"/>
      <c r="BQ37" s="17"/>
      <c r="BR37" s="17"/>
    </row>
    <row r="38" ht="18.0" customHeight="1">
      <c r="A38" s="17"/>
      <c r="B38" s="62" t="s">
        <v>106</v>
      </c>
      <c r="C38" s="30"/>
      <c r="D38" s="30"/>
      <c r="E38" s="25"/>
      <c r="F38" s="63">
        <f>F25+F26</f>
        <v>0</v>
      </c>
      <c r="G38" s="30"/>
      <c r="H38" s="25"/>
      <c r="I38" s="64">
        <f>$F$38/168</f>
        <v>0</v>
      </c>
      <c r="J38" s="30"/>
      <c r="K38" s="25"/>
      <c r="L38" s="65" t="str">
        <f>IFERROR(__xludf.DUMMYFUNCTION("IFERROR(SPARKLINE($F$38,{""charttype"",""bar"";""max"",MAX($F$35:$F$42)+0.0001;""color1"",""#8e029b""}),"""")"),"")</f>
        <v/>
      </c>
      <c r="M38" s="30"/>
      <c r="N38" s="30"/>
      <c r="O38" s="30"/>
      <c r="P38" s="30"/>
      <c r="Q38" s="30"/>
      <c r="R38" s="25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34" t="b">
        <v>0</v>
      </c>
      <c r="BA38" s="35"/>
      <c r="BB38" s="35"/>
      <c r="BC38" s="17"/>
      <c r="BD38" s="78" t="s">
        <v>107</v>
      </c>
      <c r="BE38" s="89"/>
      <c r="BF38" s="89"/>
      <c r="BG38" s="89"/>
      <c r="BH38" s="89"/>
      <c r="BI38" s="89"/>
      <c r="BJ38" s="89"/>
      <c r="BK38" s="89"/>
      <c r="BL38" s="90" t="str">
        <f t="shared" si="4"/>
        <v>—</v>
      </c>
      <c r="BM38" s="17"/>
      <c r="BN38" s="17"/>
      <c r="BO38" s="17"/>
      <c r="BP38" s="17"/>
      <c r="BQ38" s="17"/>
      <c r="BR38" s="17"/>
    </row>
    <row r="39" ht="18.0" customHeight="1">
      <c r="A39" s="17"/>
      <c r="B39" s="62" t="s">
        <v>108</v>
      </c>
      <c r="C39" s="30"/>
      <c r="D39" s="30"/>
      <c r="E39" s="25"/>
      <c r="F39" s="63">
        <f>F24</f>
        <v>0</v>
      </c>
      <c r="G39" s="30"/>
      <c r="H39" s="25"/>
      <c r="I39" s="64">
        <f>$F$39/168</f>
        <v>0</v>
      </c>
      <c r="J39" s="30"/>
      <c r="K39" s="25"/>
      <c r="L39" s="65" t="str">
        <f>IFERROR(__xludf.DUMMYFUNCTION("IFERROR(SPARKLINE($F$39,{""charttype"",""bar"";""max"",MAX($F$35:$F$42)+0.0001;""color1"",""#89fd05""}),"""")"),"")</f>
        <v/>
      </c>
      <c r="M39" s="30"/>
      <c r="N39" s="30"/>
      <c r="O39" s="30"/>
      <c r="P39" s="30"/>
      <c r="Q39" s="30"/>
      <c r="R39" s="25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</row>
    <row r="40" ht="18.0" customHeight="1">
      <c r="A40" s="17"/>
      <c r="B40" s="62" t="s">
        <v>57</v>
      </c>
      <c r="C40" s="30"/>
      <c r="D40" s="30"/>
      <c r="E40" s="25"/>
      <c r="F40" s="63">
        <f>F27</f>
        <v>0</v>
      </c>
      <c r="G40" s="30"/>
      <c r="H40" s="25"/>
      <c r="I40" s="64">
        <f>$F$40/168</f>
        <v>0</v>
      </c>
      <c r="J40" s="30"/>
      <c r="K40" s="25"/>
      <c r="L40" s="65" t="str">
        <f>IFERROR(__xludf.DUMMYFUNCTION("IFERROR(SPARKLINE($F$40,{""charttype"",""bar"";""max"",MAX($F$35:$F$42)+0.0001;""color1"",""#eeeeee""}),"""")"),"")</f>
        <v/>
      </c>
      <c r="M40" s="30"/>
      <c r="N40" s="30"/>
      <c r="O40" s="30"/>
      <c r="P40" s="30"/>
      <c r="Q40" s="30"/>
      <c r="R40" s="25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91" t="s">
        <v>109</v>
      </c>
      <c r="BE40" s="30"/>
      <c r="BF40" s="30"/>
      <c r="BG40" s="30"/>
      <c r="BH40" s="30"/>
      <c r="BI40" s="30"/>
      <c r="BJ40" s="30"/>
      <c r="BK40" s="30"/>
      <c r="BL40" s="25"/>
      <c r="BM40" s="17"/>
      <c r="BN40" s="17"/>
      <c r="BO40" s="17"/>
      <c r="BP40" s="17"/>
      <c r="BQ40" s="17"/>
      <c r="BR40" s="17"/>
    </row>
    <row r="41" ht="18.0" customHeight="1">
      <c r="A41" s="17"/>
      <c r="B41" s="62" t="s">
        <v>59</v>
      </c>
      <c r="C41" s="30"/>
      <c r="D41" s="30"/>
      <c r="E41" s="25"/>
      <c r="F41" s="63">
        <f>F29</f>
        <v>0</v>
      </c>
      <c r="G41" s="30"/>
      <c r="H41" s="25"/>
      <c r="I41" s="64">
        <f>$F$41/168</f>
        <v>0</v>
      </c>
      <c r="J41" s="30"/>
      <c r="K41" s="25"/>
      <c r="L41" s="65" t="str">
        <f>IFERROR(__xludf.DUMMYFUNCTION("IFERROR(SPARKLINE($F$41,{""charttype"",""bar"";""max"",MAX($F$35:$F$42)+0.0001;""color1"",""#4e4d44""}),"""")"),"")</f>
        <v/>
      </c>
      <c r="M41" s="30"/>
      <c r="N41" s="30"/>
      <c r="O41" s="30"/>
      <c r="P41" s="30"/>
      <c r="Q41" s="30"/>
      <c r="R41" s="25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78" t="s">
        <v>110</v>
      </c>
      <c r="BE41" s="92" t="b">
        <v>0</v>
      </c>
      <c r="BF41" s="92" t="b">
        <v>0</v>
      </c>
      <c r="BG41" s="92" t="b">
        <v>0</v>
      </c>
      <c r="BH41" s="92" t="b">
        <v>0</v>
      </c>
      <c r="BI41" s="92" t="b">
        <v>0</v>
      </c>
      <c r="BJ41" s="92" t="b">
        <v>0</v>
      </c>
      <c r="BK41" s="92" t="b">
        <v>0</v>
      </c>
      <c r="BL41" s="93" t="str">
        <f t="shared" ref="BL41:BL43" si="5">COUNTIF(BE41:BK41,TRUE)&amp;" / 7"</f>
        <v>0 / 7</v>
      </c>
      <c r="BM41" s="17"/>
      <c r="BN41" s="17"/>
      <c r="BO41" s="17"/>
      <c r="BP41" s="17"/>
      <c r="BQ41" s="17"/>
      <c r="BR41" s="17"/>
    </row>
    <row r="42" ht="18.0" customHeight="1">
      <c r="A42" s="17"/>
      <c r="B42" s="62" t="s">
        <v>58</v>
      </c>
      <c r="C42" s="30"/>
      <c r="D42" s="30"/>
      <c r="E42" s="25"/>
      <c r="F42" s="63">
        <f>F28</f>
        <v>0</v>
      </c>
      <c r="G42" s="30"/>
      <c r="H42" s="25"/>
      <c r="I42" s="64">
        <f>$F$42/168</f>
        <v>0</v>
      </c>
      <c r="J42" s="30"/>
      <c r="K42" s="25"/>
      <c r="L42" s="65" t="str">
        <f>IFERROR(__xludf.DUMMYFUNCTION("IFERROR(SPARKLINE($F$42,{""charttype"",""bar"";""max"",MAX($F$35:$F$42)+0.0001;""color1"",""#ff1500""}),"""")"),"")</f>
        <v/>
      </c>
      <c r="M42" s="30"/>
      <c r="N42" s="30"/>
      <c r="O42" s="30"/>
      <c r="P42" s="30"/>
      <c r="Q42" s="30"/>
      <c r="R42" s="25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78" t="s">
        <v>111</v>
      </c>
      <c r="BE42" s="92" t="b">
        <v>0</v>
      </c>
      <c r="BF42" s="92" t="b">
        <v>0</v>
      </c>
      <c r="BG42" s="92" t="b">
        <v>0</v>
      </c>
      <c r="BH42" s="92" t="b">
        <v>0</v>
      </c>
      <c r="BI42" s="92" t="b">
        <v>0</v>
      </c>
      <c r="BJ42" s="92" t="b">
        <v>0</v>
      </c>
      <c r="BK42" s="92" t="b">
        <v>0</v>
      </c>
      <c r="BL42" s="93" t="str">
        <f t="shared" si="5"/>
        <v>0 / 7</v>
      </c>
      <c r="BM42" s="17"/>
      <c r="BN42" s="17"/>
      <c r="BO42" s="17"/>
      <c r="BP42" s="17"/>
      <c r="BQ42" s="17"/>
      <c r="B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78" t="s">
        <v>112</v>
      </c>
      <c r="BE43" s="92" t="b">
        <v>0</v>
      </c>
      <c r="BF43" s="92" t="b">
        <v>0</v>
      </c>
      <c r="BG43" s="92" t="b">
        <v>0</v>
      </c>
      <c r="BH43" s="92" t="b">
        <v>0</v>
      </c>
      <c r="BI43" s="92" t="b">
        <v>0</v>
      </c>
      <c r="BJ43" s="92" t="b">
        <v>0</v>
      </c>
      <c r="BK43" s="92" t="b">
        <v>0</v>
      </c>
      <c r="BL43" s="93" t="str">
        <f t="shared" si="5"/>
        <v>0 / 7</v>
      </c>
      <c r="BM43" s="17"/>
      <c r="BN43" s="17"/>
      <c r="BO43" s="17"/>
      <c r="BP43" s="17"/>
      <c r="BQ43" s="17"/>
      <c r="BR43" s="17"/>
    </row>
    <row r="44" ht="22.5" customHeight="1">
      <c r="A44" s="17"/>
      <c r="B44" s="58" t="s">
        <v>113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94" t="s">
        <v>114</v>
      </c>
      <c r="BL45" s="17"/>
      <c r="BM45" s="17"/>
      <c r="BN45" s="17"/>
      <c r="BO45" s="17"/>
      <c r="BP45" s="17"/>
      <c r="BQ45" s="17"/>
      <c r="BR45" s="17"/>
    </row>
    <row r="46">
      <c r="A46" s="17"/>
      <c r="B46" s="95" t="s">
        <v>115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31" t="s">
        <v>46</v>
      </c>
      <c r="BE46" s="31" t="s">
        <v>94</v>
      </c>
      <c r="BF46" s="31" t="s">
        <v>96</v>
      </c>
      <c r="BG46" s="31" t="s">
        <v>99</v>
      </c>
      <c r="BH46" s="31" t="s">
        <v>101</v>
      </c>
      <c r="BI46" s="31" t="s">
        <v>103</v>
      </c>
      <c r="BJ46" s="31" t="s">
        <v>105</v>
      </c>
      <c r="BK46" s="31" t="s">
        <v>107</v>
      </c>
      <c r="BL46" s="17"/>
      <c r="BM46" s="17"/>
      <c r="BN46" s="17"/>
      <c r="BO46" s="17"/>
      <c r="BP46" s="17"/>
      <c r="BQ46" s="17"/>
      <c r="BR46" s="17"/>
    </row>
    <row r="47">
      <c r="A47" s="17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36" t="s">
        <v>62</v>
      </c>
      <c r="BE47" s="37" t="str">
        <f>IF(BE32="","",BE32)</f>
        <v/>
      </c>
      <c r="BF47" s="37" t="str">
        <f>IF(BE33="","",BE33)</f>
        <v/>
      </c>
      <c r="BG47" s="37" t="str">
        <f>IF(BE34="","",BE34)</f>
        <v/>
      </c>
      <c r="BH47" s="37" t="str">
        <f>IF(BE35="","",BE35)</f>
        <v/>
      </c>
      <c r="BI47" s="37" t="str">
        <f>IF(BE36="","",BE36)</f>
        <v/>
      </c>
      <c r="BJ47" s="37" t="str">
        <f>IF(BE37="","",BE37)</f>
        <v/>
      </c>
      <c r="BK47" s="37" t="str">
        <f>IF(BE38="","",BE38)</f>
        <v/>
      </c>
      <c r="BL47" s="17"/>
      <c r="BM47" s="17"/>
      <c r="BN47" s="17"/>
      <c r="BO47" s="17"/>
      <c r="BP47" s="17"/>
      <c r="BQ47" s="17"/>
      <c r="BR47" s="17"/>
    </row>
    <row r="48">
      <c r="A48" s="17"/>
      <c r="B48" s="99"/>
      <c r="R48" s="100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36" t="s">
        <v>65</v>
      </c>
      <c r="BE48" s="37" t="str">
        <f>IF(BF32="","",BF32)</f>
        <v/>
      </c>
      <c r="BF48" s="37" t="str">
        <f>IF(BF33="","",BF33)</f>
        <v/>
      </c>
      <c r="BG48" s="37" t="str">
        <f>IF(BF34="","",BF34)</f>
        <v/>
      </c>
      <c r="BH48" s="37" t="str">
        <f>IF(BF35="","",BF35)</f>
        <v/>
      </c>
      <c r="BI48" s="37" t="str">
        <f>IF(BF36="","",BF36)</f>
        <v/>
      </c>
      <c r="BJ48" s="37" t="str">
        <f>IF(BF37="","",BF37)</f>
        <v/>
      </c>
      <c r="BK48" s="37" t="str">
        <f>IF(BF38="","",BF38)</f>
        <v/>
      </c>
      <c r="BL48" s="17"/>
      <c r="BM48" s="17"/>
      <c r="BN48" s="17"/>
      <c r="BO48" s="17"/>
      <c r="BP48" s="17"/>
      <c r="BQ48" s="17"/>
      <c r="BR48" s="17"/>
    </row>
    <row r="49">
      <c r="A49" s="17"/>
      <c r="B49" s="101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3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36" t="s">
        <v>66</v>
      </c>
      <c r="BE49" s="37" t="str">
        <f>IF(BG32="","",BG32)</f>
        <v/>
      </c>
      <c r="BF49" s="37" t="str">
        <f>IF(BG33="","",BG33)</f>
        <v/>
      </c>
      <c r="BG49" s="37" t="str">
        <f>IF(BG34="","",BG34)</f>
        <v/>
      </c>
      <c r="BH49" s="37" t="str">
        <f>IF(BG35="","",BG35)</f>
        <v/>
      </c>
      <c r="BI49" s="37" t="str">
        <f>IF(BG36="","",BG36)</f>
        <v/>
      </c>
      <c r="BJ49" s="37" t="str">
        <f>IF(BG37="","",BG37)</f>
        <v/>
      </c>
      <c r="BK49" s="37" t="str">
        <f>IF(BG38="","",BG38)</f>
        <v/>
      </c>
      <c r="BL49" s="17"/>
      <c r="BM49" s="17"/>
      <c r="BN49" s="17"/>
      <c r="BO49" s="17"/>
      <c r="BP49" s="17"/>
      <c r="BQ49" s="17"/>
      <c r="B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36" t="s">
        <v>67</v>
      </c>
      <c r="BE50" s="37" t="str">
        <f>IF(BH32="","",BH32)</f>
        <v/>
      </c>
      <c r="BF50" s="37" t="str">
        <f>IF(BH33="","",BH33)</f>
        <v/>
      </c>
      <c r="BG50" s="37" t="str">
        <f>IF(BH34="","",BH34)</f>
        <v/>
      </c>
      <c r="BH50" s="37" t="str">
        <f>IF(BH35="","",BH35)</f>
        <v/>
      </c>
      <c r="BI50" s="37" t="str">
        <f>IF(BH36="","",BH36)</f>
        <v/>
      </c>
      <c r="BJ50" s="37" t="str">
        <f>IF(BH37="","",BH37)</f>
        <v/>
      </c>
      <c r="BK50" s="37" t="str">
        <f>IF(BH38="","",BH38)</f>
        <v/>
      </c>
      <c r="BL50" s="17"/>
      <c r="BM50" s="17"/>
      <c r="BN50" s="17"/>
      <c r="BO50" s="17"/>
      <c r="BP50" s="17"/>
      <c r="BQ50" s="17"/>
      <c r="BR50" s="17"/>
    </row>
    <row r="51">
      <c r="A51" s="17"/>
      <c r="B51" s="95" t="s">
        <v>116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41" t="s">
        <v>69</v>
      </c>
      <c r="BE51" s="37" t="str">
        <f>IF(BI32="","",BI32)</f>
        <v/>
      </c>
      <c r="BF51" s="37" t="str">
        <f>IF(BI33="","",BI33)</f>
        <v/>
      </c>
      <c r="BG51" s="37" t="str">
        <f>IF(BI34="","",BI34)</f>
        <v/>
      </c>
      <c r="BH51" s="37" t="str">
        <f>IF(BI35="","",BI35)</f>
        <v/>
      </c>
      <c r="BI51" s="37" t="str">
        <f>IF(BI36="","",BI36)</f>
        <v/>
      </c>
      <c r="BJ51" s="37" t="str">
        <f>IF(BI37="","",BI37)</f>
        <v/>
      </c>
      <c r="BK51" s="37" t="str">
        <f>IF(BI38="","",BI38)</f>
        <v/>
      </c>
      <c r="BL51" s="17"/>
      <c r="BM51" s="17"/>
      <c r="BN51" s="17"/>
      <c r="BO51" s="17"/>
      <c r="BP51" s="17"/>
      <c r="BQ51" s="17"/>
      <c r="BR51" s="17"/>
    </row>
    <row r="52">
      <c r="A52" s="17"/>
      <c r="B52" s="9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36" t="s">
        <v>70</v>
      </c>
      <c r="BE52" s="37" t="str">
        <f>IF(BJ32="","",BJ32)</f>
        <v/>
      </c>
      <c r="BF52" s="37" t="str">
        <f>IF(BJ33="","",BJ33)</f>
        <v/>
      </c>
      <c r="BG52" s="37" t="str">
        <f>IF(BJ34="","",BJ34)</f>
        <v/>
      </c>
      <c r="BH52" s="37" t="str">
        <f>IF(BJ35="","",BJ35)</f>
        <v/>
      </c>
      <c r="BI52" s="37" t="str">
        <f>IF(BJ36="","",BJ36)</f>
        <v/>
      </c>
      <c r="BJ52" s="37" t="str">
        <f>IF(BJ37="","",BJ37)</f>
        <v/>
      </c>
      <c r="BK52" s="37" t="str">
        <f>IF(BJ38="","",BJ38)</f>
        <v/>
      </c>
      <c r="BL52" s="17"/>
      <c r="BM52" s="17"/>
      <c r="BN52" s="17"/>
      <c r="BO52" s="17"/>
      <c r="BP52" s="17"/>
      <c r="BQ52" s="17"/>
      <c r="BR52" s="17"/>
    </row>
    <row r="53">
      <c r="A53" s="17"/>
      <c r="B53" s="99"/>
      <c r="R53" s="100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36" t="s">
        <v>71</v>
      </c>
      <c r="BE53" s="37" t="str">
        <f>IF(BK32="","",BK32)</f>
        <v/>
      </c>
      <c r="BF53" s="37" t="str">
        <f>IF(BK33="","",BK33)</f>
        <v/>
      </c>
      <c r="BG53" s="37" t="str">
        <f>IF(BK34="","",BK34)</f>
        <v/>
      </c>
      <c r="BH53" s="37" t="str">
        <f>IF(BK35="","",BK35)</f>
        <v/>
      </c>
      <c r="BI53" s="37" t="str">
        <f>IF(BK36="","",BK36)</f>
        <v/>
      </c>
      <c r="BJ53" s="37" t="str">
        <f>IF(BK37="","",BK37)</f>
        <v/>
      </c>
      <c r="BK53" s="37" t="str">
        <f>IF(BK38="","",BK38)</f>
        <v/>
      </c>
      <c r="BL53" s="17"/>
      <c r="BM53" s="17"/>
      <c r="BN53" s="17"/>
      <c r="BO53" s="17"/>
      <c r="BP53" s="17"/>
      <c r="BQ53" s="17"/>
      <c r="BR53" s="17"/>
    </row>
    <row r="54">
      <c r="A54" s="17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3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</row>
    <row r="56">
      <c r="A56" s="17"/>
      <c r="B56" s="95" t="s">
        <v>117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</row>
    <row r="57">
      <c r="A57" s="17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</row>
    <row r="58">
      <c r="A58" s="17"/>
      <c r="B58" s="99"/>
      <c r="R58" s="100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</row>
    <row r="59">
      <c r="A59" s="17"/>
      <c r="B59" s="10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3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</row>
    <row r="61">
      <c r="A61" s="17"/>
      <c r="B61" s="95" t="s">
        <v>118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</row>
    <row r="62">
      <c r="A62" s="17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>
      <c r="A63" s="17"/>
      <c r="B63" s="99"/>
      <c r="R63" s="100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</row>
    <row r="64">
      <c r="A64" s="17"/>
      <c r="B64" s="101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3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</row>
    <row r="66">
      <c r="A66" s="17"/>
      <c r="B66" s="95" t="s">
        <v>119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</row>
    <row r="67">
      <c r="A67" s="17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</row>
    <row r="68">
      <c r="A68" s="17"/>
      <c r="B68" s="99"/>
      <c r="R68" s="100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</row>
    <row r="69">
      <c r="A69" s="17"/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3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</row>
    <row r="170" ht="22.5" customHeight="1">
      <c r="A170" s="17"/>
      <c r="B170" s="58" t="s">
        <v>120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</row>
    <row r="171">
      <c r="A171" s="17"/>
      <c r="B171" s="61" t="s">
        <v>121</v>
      </c>
      <c r="C171" s="30"/>
      <c r="D171" s="30"/>
      <c r="E171" s="25"/>
      <c r="F171" s="61" t="s">
        <v>122</v>
      </c>
      <c r="G171" s="25"/>
      <c r="H171" s="61" t="s">
        <v>123</v>
      </c>
      <c r="I171" s="25"/>
      <c r="J171" s="61" t="s">
        <v>124</v>
      </c>
      <c r="K171" s="25"/>
      <c r="L171" s="61" t="s">
        <v>125</v>
      </c>
      <c r="M171" s="30"/>
      <c r="N171" s="30"/>
      <c r="O171" s="30"/>
      <c r="P171" s="30"/>
      <c r="Q171" s="30"/>
      <c r="R171" s="25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</row>
    <row r="172" ht="18.0" customHeight="1">
      <c r="A172" s="17"/>
      <c r="B172" s="104" t="s">
        <v>126</v>
      </c>
      <c r="C172" s="30"/>
      <c r="D172" s="30"/>
      <c r="E172" s="25"/>
      <c r="F172" s="105">
        <v>0.3333333333333333</v>
      </c>
      <c r="G172" s="25"/>
      <c r="H172" s="105">
        <v>0.3958333333333333</v>
      </c>
      <c r="I172" s="25"/>
      <c r="J172" s="106" t="str">
        <f>IF(AND($F$172&lt;&gt;"",$H$172&lt;&gt;""),TEXT(MOD($H$172-$F$172,1),"[h]:mm"),"")</f>
        <v>1:30</v>
      </c>
      <c r="K172" s="25"/>
      <c r="L172" s="65"/>
      <c r="M172" s="30"/>
      <c r="N172" s="30"/>
      <c r="O172" s="30"/>
      <c r="P172" s="30"/>
      <c r="Q172" s="30"/>
      <c r="R172" s="25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</row>
    <row r="173" ht="18.0" customHeight="1">
      <c r="A173" s="17"/>
      <c r="B173" s="104" t="s">
        <v>127</v>
      </c>
      <c r="C173" s="30"/>
      <c r="D173" s="30"/>
      <c r="E173" s="25"/>
      <c r="F173" s="105">
        <v>0.4166666666666667</v>
      </c>
      <c r="G173" s="25"/>
      <c r="H173" s="105">
        <v>0.5416666666666666</v>
      </c>
      <c r="I173" s="25"/>
      <c r="J173" s="106" t="str">
        <f>IF(AND($F$173&lt;&gt;"",$H$173&lt;&gt;""),TEXT(MOD($H$173-$F$173,1),"[h]:mm"),"")</f>
        <v>3:00</v>
      </c>
      <c r="K173" s="25"/>
      <c r="L173" s="65"/>
      <c r="M173" s="30"/>
      <c r="N173" s="30"/>
      <c r="O173" s="30"/>
      <c r="P173" s="30"/>
      <c r="Q173" s="30"/>
      <c r="R173" s="25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</row>
    <row r="174" ht="18.0" customHeight="1">
      <c r="A174" s="17"/>
      <c r="B174" s="104" t="s">
        <v>128</v>
      </c>
      <c r="C174" s="30"/>
      <c r="D174" s="30"/>
      <c r="E174" s="25"/>
      <c r="F174" s="105">
        <v>0.75</v>
      </c>
      <c r="G174" s="25"/>
      <c r="H174" s="105">
        <v>0.7916666666666666</v>
      </c>
      <c r="I174" s="25"/>
      <c r="J174" s="106" t="str">
        <f>IF(AND($F$174&lt;&gt;"",$H$174&lt;&gt;""),TEXT(MOD($H$174-$F$174,1),"[h]:mm"),"")</f>
        <v>1:00</v>
      </c>
      <c r="K174" s="25"/>
      <c r="L174" s="65"/>
      <c r="M174" s="30"/>
      <c r="N174" s="30"/>
      <c r="O174" s="30"/>
      <c r="P174" s="30"/>
      <c r="Q174" s="30"/>
      <c r="R174" s="25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</row>
    <row r="175" ht="18.0" customHeight="1">
      <c r="A175" s="17"/>
      <c r="B175" s="104" t="s">
        <v>24</v>
      </c>
      <c r="C175" s="30"/>
      <c r="D175" s="30"/>
      <c r="E175" s="25"/>
      <c r="F175" s="105">
        <v>0.9166666666666666</v>
      </c>
      <c r="G175" s="25"/>
      <c r="H175" s="105">
        <v>0.9305555555555556</v>
      </c>
      <c r="I175" s="25"/>
      <c r="J175" s="106" t="str">
        <f>IF(AND($F$175&lt;&gt;"",$H$175&lt;&gt;""),TEXT(MOD($H$175-$F$175,1),"[h]:mm"),"")</f>
        <v>0:20</v>
      </c>
      <c r="K175" s="25"/>
      <c r="L175" s="65"/>
      <c r="M175" s="30"/>
      <c r="N175" s="30"/>
      <c r="O175" s="30"/>
      <c r="P175" s="30"/>
      <c r="Q175" s="30"/>
      <c r="R175" s="25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</row>
    <row r="176" ht="18.0" customHeight="1">
      <c r="A176" s="17"/>
      <c r="B176" s="65"/>
      <c r="C176" s="30"/>
      <c r="D176" s="30"/>
      <c r="E176" s="25"/>
      <c r="F176" s="107"/>
      <c r="G176" s="25"/>
      <c r="H176" s="107"/>
      <c r="I176" s="25"/>
      <c r="J176" s="106" t="str">
        <f>IF(AND($F$176&lt;&gt;"",$H$176&lt;&gt;""),TEXT(MOD($H$176-$F$176,1),"[h]:mm"),"")</f>
        <v/>
      </c>
      <c r="K176" s="25"/>
      <c r="L176" s="65"/>
      <c r="M176" s="30"/>
      <c r="N176" s="30"/>
      <c r="O176" s="30"/>
      <c r="P176" s="30"/>
      <c r="Q176" s="30"/>
      <c r="R176" s="25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</row>
    <row r="177" ht="18.0" customHeight="1">
      <c r="A177" s="17"/>
      <c r="B177" s="65"/>
      <c r="C177" s="30"/>
      <c r="D177" s="30"/>
      <c r="E177" s="25"/>
      <c r="F177" s="107"/>
      <c r="G177" s="25"/>
      <c r="H177" s="107"/>
      <c r="I177" s="25"/>
      <c r="J177" s="106" t="str">
        <f>IF(AND($F$177&lt;&gt;"",$H$177&lt;&gt;""),TEXT(MOD($H$177-$F$177,1),"[h]:mm"),"")</f>
        <v/>
      </c>
      <c r="K177" s="25"/>
      <c r="L177" s="65"/>
      <c r="M177" s="30"/>
      <c r="N177" s="30"/>
      <c r="O177" s="30"/>
      <c r="P177" s="30"/>
      <c r="Q177" s="30"/>
      <c r="R177" s="25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</row>
    <row r="178" ht="18.0" customHeight="1">
      <c r="A178" s="17"/>
      <c r="B178" s="65"/>
      <c r="C178" s="30"/>
      <c r="D178" s="30"/>
      <c r="E178" s="25"/>
      <c r="F178" s="107"/>
      <c r="G178" s="25"/>
      <c r="H178" s="107"/>
      <c r="I178" s="25"/>
      <c r="J178" s="106" t="str">
        <f>IF(AND($F$178&lt;&gt;"",$H$178&lt;&gt;""),TEXT(MOD($H$178-$F$178,1),"[h]:mm"),"")</f>
        <v/>
      </c>
      <c r="K178" s="25"/>
      <c r="L178" s="65"/>
      <c r="M178" s="30"/>
      <c r="N178" s="30"/>
      <c r="O178" s="30"/>
      <c r="P178" s="30"/>
      <c r="Q178" s="30"/>
      <c r="R178" s="25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</row>
    <row r="179" ht="18.0" customHeight="1">
      <c r="A179" s="17"/>
      <c r="B179" s="65"/>
      <c r="C179" s="30"/>
      <c r="D179" s="30"/>
      <c r="E179" s="25"/>
      <c r="F179" s="107"/>
      <c r="G179" s="25"/>
      <c r="H179" s="107"/>
      <c r="I179" s="25"/>
      <c r="J179" s="106" t="str">
        <f>IF(AND($F$179&lt;&gt;"",$H$179&lt;&gt;""),TEXT(MOD($H$179-$F$179,1),"[h]:mm"),"")</f>
        <v/>
      </c>
      <c r="K179" s="25"/>
      <c r="L179" s="65"/>
      <c r="M179" s="30"/>
      <c r="N179" s="30"/>
      <c r="O179" s="30"/>
      <c r="P179" s="30"/>
      <c r="Q179" s="30"/>
      <c r="R179" s="25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</row>
    <row r="180" ht="18.0" customHeight="1">
      <c r="A180" s="17"/>
      <c r="B180" s="65"/>
      <c r="C180" s="30"/>
      <c r="D180" s="30"/>
      <c r="E180" s="25"/>
      <c r="F180" s="107"/>
      <c r="G180" s="25"/>
      <c r="H180" s="107"/>
      <c r="I180" s="25"/>
      <c r="J180" s="106" t="str">
        <f>IF(AND($F$180&lt;&gt;"",$H$180&lt;&gt;""),TEXT(MOD($H$180-$F$180,1),"[h]:mm"),"")</f>
        <v/>
      </c>
      <c r="K180" s="25"/>
      <c r="L180" s="65"/>
      <c r="M180" s="30"/>
      <c r="N180" s="30"/>
      <c r="O180" s="30"/>
      <c r="P180" s="30"/>
      <c r="Q180" s="30"/>
      <c r="R180" s="25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</row>
    <row r="181" ht="18.0" customHeight="1">
      <c r="A181" s="17"/>
      <c r="B181" s="65"/>
      <c r="C181" s="30"/>
      <c r="D181" s="30"/>
      <c r="E181" s="25"/>
      <c r="F181" s="107"/>
      <c r="G181" s="25"/>
      <c r="H181" s="107"/>
      <c r="I181" s="25"/>
      <c r="J181" s="106" t="str">
        <f>IF(AND($F$181&lt;&gt;"",$H$181&lt;&gt;""),TEXT(MOD($H$181-$F$181,1),"[h]:mm"),"")</f>
        <v/>
      </c>
      <c r="K181" s="25"/>
      <c r="L181" s="65"/>
      <c r="M181" s="30"/>
      <c r="N181" s="30"/>
      <c r="O181" s="30"/>
      <c r="P181" s="30"/>
      <c r="Q181" s="30"/>
      <c r="R181" s="25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</row>
    <row r="182" ht="18.0" customHeight="1">
      <c r="A182" s="17"/>
      <c r="B182" s="65"/>
      <c r="C182" s="30"/>
      <c r="D182" s="30"/>
      <c r="E182" s="25"/>
      <c r="F182" s="107"/>
      <c r="G182" s="25"/>
      <c r="H182" s="107"/>
      <c r="I182" s="25"/>
      <c r="J182" s="106" t="str">
        <f>IF(AND($F$182&lt;&gt;"",$H$182&lt;&gt;""),TEXT(MOD($H$182-$F$182,1),"[h]:mm"),"")</f>
        <v/>
      </c>
      <c r="K182" s="25"/>
      <c r="L182" s="65"/>
      <c r="M182" s="30"/>
      <c r="N182" s="30"/>
      <c r="O182" s="30"/>
      <c r="P182" s="30"/>
      <c r="Q182" s="30"/>
      <c r="R182" s="25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</row>
    <row r="183" ht="18.0" customHeight="1">
      <c r="A183" s="17"/>
      <c r="B183" s="65"/>
      <c r="C183" s="30"/>
      <c r="D183" s="30"/>
      <c r="E183" s="25"/>
      <c r="F183" s="107"/>
      <c r="G183" s="25"/>
      <c r="H183" s="107"/>
      <c r="I183" s="25"/>
      <c r="J183" s="106" t="str">
        <f>IF(AND($F$183&lt;&gt;"",$H$183&lt;&gt;""),TEXT(MOD($H$183-$F$183,1),"[h]:mm"),"")</f>
        <v/>
      </c>
      <c r="K183" s="25"/>
      <c r="L183" s="65"/>
      <c r="M183" s="30"/>
      <c r="N183" s="30"/>
      <c r="O183" s="30"/>
      <c r="P183" s="30"/>
      <c r="Q183" s="30"/>
      <c r="R183" s="25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</row>
    <row r="186" ht="22.5" customHeight="1">
      <c r="A186" s="17"/>
      <c r="B186" s="58" t="s">
        <v>129</v>
      </c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</row>
    <row r="188" ht="19.5" customHeight="1">
      <c r="A188" s="17"/>
      <c r="B188" s="108" t="str">
        <f>"Monday"&amp;"   ·   "&amp;TEXT(MONTH_START+7,"d mmm")</f>
        <v>Monday   ·   24 Aug</v>
      </c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</row>
    <row r="189">
      <c r="A189" s="17"/>
      <c r="B189" s="94" t="s">
        <v>130</v>
      </c>
      <c r="M189" s="17"/>
      <c r="N189" s="94" t="s">
        <v>131</v>
      </c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</row>
    <row r="190">
      <c r="A190" s="17"/>
      <c r="B190" s="96"/>
      <c r="C190" s="97"/>
      <c r="D190" s="97"/>
      <c r="E190" s="97"/>
      <c r="F190" s="97"/>
      <c r="G190" s="97"/>
      <c r="H190" s="97"/>
      <c r="I190" s="97"/>
      <c r="J190" s="97"/>
      <c r="K190" s="97"/>
      <c r="L190" s="98"/>
      <c r="M190" s="17"/>
      <c r="N190" s="96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8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</row>
    <row r="191">
      <c r="A191" s="17"/>
      <c r="B191" s="99"/>
      <c r="L191" s="100"/>
      <c r="M191" s="17"/>
      <c r="N191" s="99"/>
      <c r="AA191" s="10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</row>
    <row r="192">
      <c r="A192" s="17"/>
      <c r="B192" s="99"/>
      <c r="L192" s="100"/>
      <c r="M192" s="17"/>
      <c r="N192" s="99"/>
      <c r="AA192" s="10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</row>
    <row r="193">
      <c r="A193" s="17"/>
      <c r="B193" s="99"/>
      <c r="L193" s="100"/>
      <c r="M193" s="17"/>
      <c r="N193" s="99"/>
      <c r="AA193" s="10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</row>
    <row r="194">
      <c r="A194" s="17"/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3"/>
      <c r="M194" s="17"/>
      <c r="N194" s="101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3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</row>
    <row r="196" ht="19.5" customHeight="1">
      <c r="A196" s="17"/>
      <c r="B196" s="108" t="str">
        <f>"Tuesday"&amp;"   ·   "&amp;TEXT(MONTH_START+8,"d mmm")</f>
        <v>Tuesday   ·   25 Aug</v>
      </c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</row>
    <row r="197">
      <c r="A197" s="17"/>
      <c r="B197" s="94" t="s">
        <v>130</v>
      </c>
      <c r="M197" s="17"/>
      <c r="N197" s="94" t="s">
        <v>131</v>
      </c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</row>
    <row r="198">
      <c r="A198" s="17"/>
      <c r="B198" s="96"/>
      <c r="C198" s="97"/>
      <c r="D198" s="97"/>
      <c r="E198" s="97"/>
      <c r="F198" s="97"/>
      <c r="G198" s="97"/>
      <c r="H198" s="97"/>
      <c r="I198" s="97"/>
      <c r="J198" s="97"/>
      <c r="K198" s="97"/>
      <c r="L198" s="98"/>
      <c r="M198" s="17"/>
      <c r="N198" s="96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8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</row>
    <row r="199">
      <c r="A199" s="17"/>
      <c r="B199" s="99"/>
      <c r="L199" s="100"/>
      <c r="M199" s="17"/>
      <c r="N199" s="99"/>
      <c r="AA199" s="10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</row>
    <row r="200">
      <c r="A200" s="17"/>
      <c r="B200" s="99"/>
      <c r="L200" s="100"/>
      <c r="M200" s="17"/>
      <c r="N200" s="99"/>
      <c r="AA200" s="10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</row>
    <row r="201">
      <c r="A201" s="17"/>
      <c r="B201" s="99"/>
      <c r="L201" s="100"/>
      <c r="M201" s="17"/>
      <c r="N201" s="99"/>
      <c r="AA201" s="10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</row>
    <row r="202">
      <c r="A202" s="17"/>
      <c r="B202" s="101"/>
      <c r="C202" s="102"/>
      <c r="D202" s="102"/>
      <c r="E202" s="102"/>
      <c r="F202" s="102"/>
      <c r="G202" s="102"/>
      <c r="H202" s="102"/>
      <c r="I202" s="102"/>
      <c r="J202" s="102"/>
      <c r="K202" s="102"/>
      <c r="L202" s="103"/>
      <c r="M202" s="17"/>
      <c r="N202" s="101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3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</row>
    <row r="204" ht="19.5" customHeight="1">
      <c r="A204" s="17"/>
      <c r="B204" s="108" t="str">
        <f>"Wednesday"&amp;"   ·   "&amp;TEXT(MONTH_START+9,"d mmm")</f>
        <v>Wednesday   ·   26 Aug</v>
      </c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</row>
    <row r="205">
      <c r="A205" s="17"/>
      <c r="B205" s="94" t="s">
        <v>130</v>
      </c>
      <c r="M205" s="17"/>
      <c r="N205" s="94" t="s">
        <v>131</v>
      </c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</row>
    <row r="206">
      <c r="A206" s="17"/>
      <c r="B206" s="96"/>
      <c r="C206" s="97"/>
      <c r="D206" s="97"/>
      <c r="E206" s="97"/>
      <c r="F206" s="97"/>
      <c r="G206" s="97"/>
      <c r="H206" s="97"/>
      <c r="I206" s="97"/>
      <c r="J206" s="97"/>
      <c r="K206" s="97"/>
      <c r="L206" s="98"/>
      <c r="M206" s="17"/>
      <c r="N206" s="96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8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</row>
    <row r="207">
      <c r="A207" s="17"/>
      <c r="B207" s="99"/>
      <c r="L207" s="100"/>
      <c r="M207" s="17"/>
      <c r="N207" s="99"/>
      <c r="AA207" s="10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</row>
    <row r="208">
      <c r="A208" s="17"/>
      <c r="B208" s="99"/>
      <c r="L208" s="100"/>
      <c r="M208" s="17"/>
      <c r="N208" s="99"/>
      <c r="AA208" s="10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</row>
    <row r="209">
      <c r="A209" s="17"/>
      <c r="B209" s="99"/>
      <c r="L209" s="100"/>
      <c r="M209" s="17"/>
      <c r="N209" s="99"/>
      <c r="AA209" s="10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</row>
    <row r="210">
      <c r="A210" s="17"/>
      <c r="B210" s="101"/>
      <c r="C210" s="102"/>
      <c r="D210" s="102"/>
      <c r="E210" s="102"/>
      <c r="F210" s="102"/>
      <c r="G210" s="102"/>
      <c r="H210" s="102"/>
      <c r="I210" s="102"/>
      <c r="J210" s="102"/>
      <c r="K210" s="102"/>
      <c r="L210" s="103"/>
      <c r="M210" s="17"/>
      <c r="N210" s="101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3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</row>
    <row r="212" ht="19.5" customHeight="1">
      <c r="A212" s="17"/>
      <c r="B212" s="108" t="str">
        <f>"Thursday"&amp;"   ·   "&amp;TEXT(MONTH_START+10,"d mmm")</f>
        <v>Thursday   ·   27 Aug</v>
      </c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</row>
    <row r="213">
      <c r="A213" s="17"/>
      <c r="B213" s="94" t="s">
        <v>130</v>
      </c>
      <c r="M213" s="17"/>
      <c r="N213" s="94" t="s">
        <v>131</v>
      </c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</row>
    <row r="214">
      <c r="A214" s="17"/>
      <c r="B214" s="96"/>
      <c r="C214" s="97"/>
      <c r="D214" s="97"/>
      <c r="E214" s="97"/>
      <c r="F214" s="97"/>
      <c r="G214" s="97"/>
      <c r="H214" s="97"/>
      <c r="I214" s="97"/>
      <c r="J214" s="97"/>
      <c r="K214" s="97"/>
      <c r="L214" s="98"/>
      <c r="M214" s="17"/>
      <c r="N214" s="96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8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</row>
    <row r="215">
      <c r="A215" s="17"/>
      <c r="B215" s="99"/>
      <c r="L215" s="100"/>
      <c r="M215" s="17"/>
      <c r="N215" s="99"/>
      <c r="AA215" s="10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</row>
    <row r="216">
      <c r="A216" s="17"/>
      <c r="B216" s="99"/>
      <c r="L216" s="100"/>
      <c r="M216" s="17"/>
      <c r="N216" s="99"/>
      <c r="AA216" s="10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</row>
    <row r="217">
      <c r="A217" s="17"/>
      <c r="B217" s="99"/>
      <c r="L217" s="100"/>
      <c r="M217" s="17"/>
      <c r="N217" s="99"/>
      <c r="AA217" s="10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</row>
    <row r="218">
      <c r="A218" s="17"/>
      <c r="B218" s="101"/>
      <c r="C218" s="102"/>
      <c r="D218" s="102"/>
      <c r="E218" s="102"/>
      <c r="F218" s="102"/>
      <c r="G218" s="102"/>
      <c r="H218" s="102"/>
      <c r="I218" s="102"/>
      <c r="J218" s="102"/>
      <c r="K218" s="102"/>
      <c r="L218" s="103"/>
      <c r="M218" s="17"/>
      <c r="N218" s="101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3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</row>
    <row r="220" ht="19.5" customHeight="1">
      <c r="A220" s="17"/>
      <c r="B220" s="109" t="str">
        <f>"Friday"&amp;"   ·   "&amp;TEXT(MONTH_START+11,"d mmm")</f>
        <v>Friday   ·   28 Aug</v>
      </c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</row>
    <row r="221">
      <c r="A221" s="17"/>
      <c r="B221" s="94" t="s">
        <v>130</v>
      </c>
      <c r="M221" s="17"/>
      <c r="N221" s="94" t="s">
        <v>131</v>
      </c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</row>
    <row r="222">
      <c r="A222" s="17"/>
      <c r="B222" s="96"/>
      <c r="C222" s="97"/>
      <c r="D222" s="97"/>
      <c r="E222" s="97"/>
      <c r="F222" s="97"/>
      <c r="G222" s="97"/>
      <c r="H222" s="97"/>
      <c r="I222" s="97"/>
      <c r="J222" s="97"/>
      <c r="K222" s="97"/>
      <c r="L222" s="98"/>
      <c r="M222" s="17"/>
      <c r="N222" s="96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8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</row>
    <row r="223">
      <c r="A223" s="17"/>
      <c r="B223" s="99"/>
      <c r="L223" s="100"/>
      <c r="M223" s="17"/>
      <c r="N223" s="99"/>
      <c r="AA223" s="10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</row>
    <row r="224">
      <c r="A224" s="17"/>
      <c r="B224" s="99"/>
      <c r="L224" s="100"/>
      <c r="M224" s="17"/>
      <c r="N224" s="99"/>
      <c r="AA224" s="10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</row>
    <row r="225">
      <c r="A225" s="17"/>
      <c r="B225" s="99"/>
      <c r="L225" s="100"/>
      <c r="M225" s="17"/>
      <c r="N225" s="99"/>
      <c r="AA225" s="10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</row>
    <row r="226">
      <c r="A226" s="17"/>
      <c r="B226" s="101"/>
      <c r="C226" s="102"/>
      <c r="D226" s="102"/>
      <c r="E226" s="102"/>
      <c r="F226" s="102"/>
      <c r="G226" s="102"/>
      <c r="H226" s="102"/>
      <c r="I226" s="102"/>
      <c r="J226" s="102"/>
      <c r="K226" s="102"/>
      <c r="L226" s="103"/>
      <c r="M226" s="17"/>
      <c r="N226" s="101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3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</row>
    <row r="228" ht="19.5" customHeight="1">
      <c r="A228" s="17"/>
      <c r="B228" s="108" t="str">
        <f>"Saturday"&amp;"   ·   "&amp;TEXT(MONTH_START+12,"d mmm")</f>
        <v>Saturday   ·   29 Aug</v>
      </c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</row>
    <row r="229">
      <c r="A229" s="17"/>
      <c r="B229" s="94" t="s">
        <v>130</v>
      </c>
      <c r="M229" s="17"/>
      <c r="N229" s="94" t="s">
        <v>131</v>
      </c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</row>
    <row r="230">
      <c r="A230" s="17"/>
      <c r="B230" s="96"/>
      <c r="C230" s="97"/>
      <c r="D230" s="97"/>
      <c r="E230" s="97"/>
      <c r="F230" s="97"/>
      <c r="G230" s="97"/>
      <c r="H230" s="97"/>
      <c r="I230" s="97"/>
      <c r="J230" s="97"/>
      <c r="K230" s="97"/>
      <c r="L230" s="98"/>
      <c r="M230" s="17"/>
      <c r="N230" s="96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8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</row>
    <row r="231">
      <c r="A231" s="17"/>
      <c r="B231" s="99"/>
      <c r="L231" s="100"/>
      <c r="M231" s="17"/>
      <c r="N231" s="99"/>
      <c r="AA231" s="10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</row>
    <row r="232">
      <c r="A232" s="17"/>
      <c r="B232" s="99"/>
      <c r="L232" s="100"/>
      <c r="M232" s="17"/>
      <c r="N232" s="99"/>
      <c r="AA232" s="10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</row>
    <row r="233">
      <c r="A233" s="17"/>
      <c r="B233" s="99"/>
      <c r="L233" s="100"/>
      <c r="M233" s="17"/>
      <c r="N233" s="99"/>
      <c r="AA233" s="10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</row>
    <row r="234">
      <c r="A234" s="17"/>
      <c r="B234" s="101"/>
      <c r="C234" s="102"/>
      <c r="D234" s="102"/>
      <c r="E234" s="102"/>
      <c r="F234" s="102"/>
      <c r="G234" s="102"/>
      <c r="H234" s="102"/>
      <c r="I234" s="102"/>
      <c r="J234" s="102"/>
      <c r="K234" s="102"/>
      <c r="L234" s="103"/>
      <c r="M234" s="17"/>
      <c r="N234" s="101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3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</row>
    <row r="236" ht="19.5" customHeight="1">
      <c r="A236" s="17"/>
      <c r="B236" s="108" t="str">
        <f>"Sunday"&amp;"   ·   "&amp;TEXT(MONTH_START+13,"d mmm")</f>
        <v>Sunday   ·   30 Aug</v>
      </c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</row>
    <row r="237">
      <c r="A237" s="17"/>
      <c r="B237" s="94" t="s">
        <v>130</v>
      </c>
      <c r="M237" s="17"/>
      <c r="N237" s="94" t="s">
        <v>131</v>
      </c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</row>
    <row r="238">
      <c r="A238" s="17"/>
      <c r="B238" s="96"/>
      <c r="C238" s="97"/>
      <c r="D238" s="97"/>
      <c r="E238" s="97"/>
      <c r="F238" s="97"/>
      <c r="G238" s="97"/>
      <c r="H238" s="97"/>
      <c r="I238" s="97"/>
      <c r="J238" s="97"/>
      <c r="K238" s="97"/>
      <c r="L238" s="98"/>
      <c r="M238" s="17"/>
      <c r="N238" s="96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8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</row>
    <row r="239">
      <c r="A239" s="17"/>
      <c r="B239" s="99"/>
      <c r="L239" s="100"/>
      <c r="M239" s="17"/>
      <c r="N239" s="99"/>
      <c r="AA239" s="10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</row>
    <row r="240">
      <c r="A240" s="17"/>
      <c r="B240" s="99"/>
      <c r="L240" s="100"/>
      <c r="M240" s="17"/>
      <c r="N240" s="99"/>
      <c r="AA240" s="10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</row>
    <row r="241">
      <c r="A241" s="17"/>
      <c r="B241" s="99"/>
      <c r="L241" s="100"/>
      <c r="M241" s="17"/>
      <c r="N241" s="99"/>
      <c r="AA241" s="10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</row>
    <row r="242">
      <c r="A242" s="17"/>
      <c r="B242" s="101"/>
      <c r="C242" s="102"/>
      <c r="D242" s="102"/>
      <c r="E242" s="102"/>
      <c r="F242" s="102"/>
      <c r="G242" s="102"/>
      <c r="H242" s="102"/>
      <c r="I242" s="102"/>
      <c r="J242" s="102"/>
      <c r="K242" s="102"/>
      <c r="L242" s="103"/>
      <c r="M242" s="17"/>
      <c r="N242" s="101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3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</row>
  </sheetData>
  <mergeCells count="281">
    <mergeCell ref="I30:K30"/>
    <mergeCell ref="L30:R30"/>
    <mergeCell ref="B31:E31"/>
    <mergeCell ref="F31:H31"/>
    <mergeCell ref="I31:K31"/>
    <mergeCell ref="L31:R31"/>
    <mergeCell ref="B33:R33"/>
    <mergeCell ref="B34:E34"/>
    <mergeCell ref="F34:H34"/>
    <mergeCell ref="I34:K34"/>
    <mergeCell ref="L34:R34"/>
    <mergeCell ref="F35:H35"/>
    <mergeCell ref="I35:K35"/>
    <mergeCell ref="L35:R35"/>
    <mergeCell ref="O4:P4"/>
    <mergeCell ref="Q4:R4"/>
    <mergeCell ref="O14:R14"/>
    <mergeCell ref="G4:H4"/>
    <mergeCell ref="I4:J4"/>
    <mergeCell ref="C14:F14"/>
    <mergeCell ref="G14:J14"/>
    <mergeCell ref="B16:R16"/>
    <mergeCell ref="B17:E17"/>
    <mergeCell ref="F17:H17"/>
    <mergeCell ref="B19:E19"/>
    <mergeCell ref="F19:H19"/>
    <mergeCell ref="I19:K19"/>
    <mergeCell ref="L19:R19"/>
    <mergeCell ref="F20:H20"/>
    <mergeCell ref="I20:K20"/>
    <mergeCell ref="L20:R20"/>
    <mergeCell ref="I22:K22"/>
    <mergeCell ref="L22:R22"/>
    <mergeCell ref="B20:E20"/>
    <mergeCell ref="B21:E21"/>
    <mergeCell ref="F21:H21"/>
    <mergeCell ref="I21:K21"/>
    <mergeCell ref="L21:R21"/>
    <mergeCell ref="B22:E22"/>
    <mergeCell ref="F22:H22"/>
    <mergeCell ref="I26:K26"/>
    <mergeCell ref="L26:R26"/>
    <mergeCell ref="I41:K41"/>
    <mergeCell ref="L41:R41"/>
    <mergeCell ref="B42:E42"/>
    <mergeCell ref="F42:H42"/>
    <mergeCell ref="I42:K42"/>
    <mergeCell ref="L42:R42"/>
    <mergeCell ref="B44:R44"/>
    <mergeCell ref="B177:E177"/>
    <mergeCell ref="F177:G177"/>
    <mergeCell ref="H177:I177"/>
    <mergeCell ref="J177:K177"/>
    <mergeCell ref="L177:R177"/>
    <mergeCell ref="B178:E178"/>
    <mergeCell ref="F178:G178"/>
    <mergeCell ref="L178:R178"/>
    <mergeCell ref="H178:I178"/>
    <mergeCell ref="J178:K178"/>
    <mergeCell ref="B179:E179"/>
    <mergeCell ref="F179:G179"/>
    <mergeCell ref="H179:I179"/>
    <mergeCell ref="J179:K179"/>
    <mergeCell ref="L179:R179"/>
    <mergeCell ref="B180:E180"/>
    <mergeCell ref="F180:G180"/>
    <mergeCell ref="H180:I180"/>
    <mergeCell ref="J180:K180"/>
    <mergeCell ref="L180:R180"/>
    <mergeCell ref="B181:E181"/>
    <mergeCell ref="F181:G181"/>
    <mergeCell ref="L181:R181"/>
    <mergeCell ref="H181:I181"/>
    <mergeCell ref="J181:K181"/>
    <mergeCell ref="B182:E182"/>
    <mergeCell ref="F182:G182"/>
    <mergeCell ref="H182:I182"/>
    <mergeCell ref="J182:K182"/>
    <mergeCell ref="L182:R182"/>
    <mergeCell ref="B186:AA186"/>
    <mergeCell ref="B188:AA188"/>
    <mergeCell ref="B189:L189"/>
    <mergeCell ref="N189:AA189"/>
    <mergeCell ref="B190:L194"/>
    <mergeCell ref="N190:AA194"/>
    <mergeCell ref="B196:AA196"/>
    <mergeCell ref="N205:AA205"/>
    <mergeCell ref="N206:AA210"/>
    <mergeCell ref="B197:L197"/>
    <mergeCell ref="N197:AA197"/>
    <mergeCell ref="B198:L202"/>
    <mergeCell ref="N198:AA202"/>
    <mergeCell ref="B204:AA204"/>
    <mergeCell ref="B205:L205"/>
    <mergeCell ref="B206:L210"/>
    <mergeCell ref="B212:AA212"/>
    <mergeCell ref="B213:L213"/>
    <mergeCell ref="N213:AA213"/>
    <mergeCell ref="B214:L218"/>
    <mergeCell ref="N214:AA218"/>
    <mergeCell ref="B220:AA220"/>
    <mergeCell ref="N221:AA221"/>
    <mergeCell ref="N230:AA234"/>
    <mergeCell ref="B236:AA236"/>
    <mergeCell ref="B237:L237"/>
    <mergeCell ref="N237:AA237"/>
    <mergeCell ref="B238:L242"/>
    <mergeCell ref="N238:AA242"/>
    <mergeCell ref="B221:L221"/>
    <mergeCell ref="B222:L226"/>
    <mergeCell ref="N222:AA226"/>
    <mergeCell ref="B228:AA228"/>
    <mergeCell ref="B229:L229"/>
    <mergeCell ref="N229:AA229"/>
    <mergeCell ref="B230:L234"/>
    <mergeCell ref="J172:K172"/>
    <mergeCell ref="L172:R172"/>
    <mergeCell ref="L173:R173"/>
    <mergeCell ref="B170:R170"/>
    <mergeCell ref="B171:E171"/>
    <mergeCell ref="F171:G171"/>
    <mergeCell ref="H171:I171"/>
    <mergeCell ref="J171:K171"/>
    <mergeCell ref="L171:R171"/>
    <mergeCell ref="B172:E172"/>
    <mergeCell ref="F174:G174"/>
    <mergeCell ref="H174:I174"/>
    <mergeCell ref="L174:R174"/>
    <mergeCell ref="L175:R175"/>
    <mergeCell ref="F172:G172"/>
    <mergeCell ref="H172:I172"/>
    <mergeCell ref="B173:E173"/>
    <mergeCell ref="F173:G173"/>
    <mergeCell ref="H173:I173"/>
    <mergeCell ref="J173:K173"/>
    <mergeCell ref="J174:K174"/>
    <mergeCell ref="H176:I176"/>
    <mergeCell ref="J176:K176"/>
    <mergeCell ref="L176:R176"/>
    <mergeCell ref="B174:E174"/>
    <mergeCell ref="B175:E175"/>
    <mergeCell ref="F175:G175"/>
    <mergeCell ref="H175:I175"/>
    <mergeCell ref="J175:K175"/>
    <mergeCell ref="B176:E176"/>
    <mergeCell ref="F176:G176"/>
    <mergeCell ref="B183:E183"/>
    <mergeCell ref="F183:G183"/>
    <mergeCell ref="H183:I183"/>
    <mergeCell ref="J183:K183"/>
    <mergeCell ref="L183:R183"/>
    <mergeCell ref="AI4:AJ4"/>
    <mergeCell ref="AK4:AL4"/>
    <mergeCell ref="AM4:AN4"/>
    <mergeCell ref="AO4:AP4"/>
    <mergeCell ref="AQ4:AR4"/>
    <mergeCell ref="AS4:AT4"/>
    <mergeCell ref="AU4:AV4"/>
    <mergeCell ref="AW4:AX4"/>
    <mergeCell ref="AZ3:BB3"/>
    <mergeCell ref="AZ4:BB4"/>
    <mergeCell ref="B1:AX1"/>
    <mergeCell ref="AZ1:BK1"/>
    <mergeCell ref="B2:AX2"/>
    <mergeCell ref="AZ2:BK2"/>
    <mergeCell ref="B4:B5"/>
    <mergeCell ref="C4:D4"/>
    <mergeCell ref="E4:F4"/>
    <mergeCell ref="BD3:BQ3"/>
    <mergeCell ref="B23:E23"/>
    <mergeCell ref="F23:H23"/>
    <mergeCell ref="I23:K23"/>
    <mergeCell ref="L23:R23"/>
    <mergeCell ref="F24:H24"/>
    <mergeCell ref="I24:K24"/>
    <mergeCell ref="L24:R24"/>
    <mergeCell ref="AZ24:BB24"/>
    <mergeCell ref="B24:E24"/>
    <mergeCell ref="B25:E25"/>
    <mergeCell ref="F25:H25"/>
    <mergeCell ref="I25:K25"/>
    <mergeCell ref="L25:R25"/>
    <mergeCell ref="B26:E26"/>
    <mergeCell ref="F26:H26"/>
    <mergeCell ref="B27:E27"/>
    <mergeCell ref="F27:H27"/>
    <mergeCell ref="I27:K27"/>
    <mergeCell ref="L27:R27"/>
    <mergeCell ref="F28:H28"/>
    <mergeCell ref="I28:K28"/>
    <mergeCell ref="L28:R28"/>
    <mergeCell ref="AZ29:BB29"/>
    <mergeCell ref="BD30:BL30"/>
    <mergeCell ref="B28:E28"/>
    <mergeCell ref="B29:E29"/>
    <mergeCell ref="F29:H29"/>
    <mergeCell ref="I29:K29"/>
    <mergeCell ref="L29:R29"/>
    <mergeCell ref="B30:E30"/>
    <mergeCell ref="F30:H30"/>
    <mergeCell ref="I37:K37"/>
    <mergeCell ref="L37:R37"/>
    <mergeCell ref="B35:E35"/>
    <mergeCell ref="B36:E36"/>
    <mergeCell ref="F36:H36"/>
    <mergeCell ref="I36:K36"/>
    <mergeCell ref="L36:R36"/>
    <mergeCell ref="B37:E37"/>
    <mergeCell ref="F37:H37"/>
    <mergeCell ref="AZ34:BB34"/>
    <mergeCell ref="B38:E38"/>
    <mergeCell ref="F38:H38"/>
    <mergeCell ref="I38:K38"/>
    <mergeCell ref="L38:R38"/>
    <mergeCell ref="F39:H39"/>
    <mergeCell ref="I39:K39"/>
    <mergeCell ref="L39:R39"/>
    <mergeCell ref="BD40:BL40"/>
    <mergeCell ref="BD45:BK45"/>
    <mergeCell ref="B39:E39"/>
    <mergeCell ref="B40:E40"/>
    <mergeCell ref="F40:H40"/>
    <mergeCell ref="I40:K40"/>
    <mergeCell ref="L40:R40"/>
    <mergeCell ref="B41:E41"/>
    <mergeCell ref="F41:H41"/>
    <mergeCell ref="B62:R64"/>
    <mergeCell ref="B66:R66"/>
    <mergeCell ref="B67:R69"/>
    <mergeCell ref="B46:R46"/>
    <mergeCell ref="B47:R49"/>
    <mergeCell ref="B51:R51"/>
    <mergeCell ref="B52:R54"/>
    <mergeCell ref="B56:R56"/>
    <mergeCell ref="B57:R59"/>
    <mergeCell ref="B61:R61"/>
    <mergeCell ref="BI15:BK15"/>
    <mergeCell ref="BM15:BP15"/>
    <mergeCell ref="AU14:AX14"/>
    <mergeCell ref="AZ14:BB14"/>
    <mergeCell ref="BD14:BQ14"/>
    <mergeCell ref="BD15:BG15"/>
    <mergeCell ref="BD16:BG17"/>
    <mergeCell ref="BI16:BK17"/>
    <mergeCell ref="BM16:BP17"/>
    <mergeCell ref="BF25:BH25"/>
    <mergeCell ref="BF26:BH26"/>
    <mergeCell ref="BF27:BH27"/>
    <mergeCell ref="BF28:BH28"/>
    <mergeCell ref="AZ19:BB19"/>
    <mergeCell ref="BF19:BH19"/>
    <mergeCell ref="BF20:BH20"/>
    <mergeCell ref="BF21:BH21"/>
    <mergeCell ref="BF22:BH22"/>
    <mergeCell ref="BF23:BH23"/>
    <mergeCell ref="BF24:BH24"/>
    <mergeCell ref="K4:L4"/>
    <mergeCell ref="M4:N4"/>
    <mergeCell ref="K14:N14"/>
    <mergeCell ref="S4:T4"/>
    <mergeCell ref="U4:V4"/>
    <mergeCell ref="S14:V14"/>
    <mergeCell ref="W4:X4"/>
    <mergeCell ref="Y4:Z4"/>
    <mergeCell ref="W14:Z14"/>
    <mergeCell ref="AA4:AB4"/>
    <mergeCell ref="AC4:AD4"/>
    <mergeCell ref="AA14:AD14"/>
    <mergeCell ref="I17:K17"/>
    <mergeCell ref="L17:R17"/>
    <mergeCell ref="B18:E18"/>
    <mergeCell ref="F18:H18"/>
    <mergeCell ref="I18:K18"/>
    <mergeCell ref="L18:R18"/>
    <mergeCell ref="AE4:AF4"/>
    <mergeCell ref="AG4:AH4"/>
    <mergeCell ref="AE14:AH14"/>
    <mergeCell ref="AI14:AL14"/>
    <mergeCell ref="AM14:AP14"/>
    <mergeCell ref="AQ14:AT14"/>
    <mergeCell ref="AZ9:BB9"/>
  </mergeCells>
  <conditionalFormatting sqref="C6:AX12">
    <cfRule type="cellIs" dxfId="0" priority="1" stopIfTrue="1" operator="equal">
      <formula>"codding"</formula>
    </cfRule>
  </conditionalFormatting>
  <conditionalFormatting sqref="C6:AX12">
    <cfRule type="cellIs" dxfId="1" priority="2" stopIfTrue="1" operator="equal">
      <formula>"learn-prog"</formula>
    </cfRule>
  </conditionalFormatting>
  <conditionalFormatting sqref="C6:AX12">
    <cfRule type="cellIs" dxfId="2" priority="3" stopIfTrue="1" operator="equal">
      <formula>"En-book"</formula>
    </cfRule>
  </conditionalFormatting>
  <conditionalFormatting sqref="C6:AX12">
    <cfRule type="cellIs" dxfId="3" priority="4" stopIfTrue="1" operator="equal">
      <formula>"En-listening"</formula>
    </cfRule>
  </conditionalFormatting>
  <conditionalFormatting sqref="C6:AX12">
    <cfRule type="cellIs" dxfId="4" priority="5" stopIfTrue="1" operator="equal">
      <formula>"Run"</formula>
    </cfRule>
  </conditionalFormatting>
  <conditionalFormatting sqref="C6:AX12">
    <cfRule type="cellIs" dxfId="5" priority="6" stopIfTrue="1" operator="equal">
      <formula>"Gym"</formula>
    </cfRule>
  </conditionalFormatting>
  <conditionalFormatting sqref="C6:AX12">
    <cfRule type="cellIs" dxfId="6" priority="7" stopIfTrue="1" operator="equal">
      <formula>"work"</formula>
    </cfRule>
  </conditionalFormatting>
  <conditionalFormatting sqref="C6:AX12">
    <cfRule type="cellIs" dxfId="7" priority="8" stopIfTrue="1" operator="equal">
      <formula>"Meditation"</formula>
    </cfRule>
  </conditionalFormatting>
  <conditionalFormatting sqref="C6:AX12">
    <cfRule type="cellIs" dxfId="8" priority="9" stopIfTrue="1" operator="equal">
      <formula>"Setar"</formula>
    </cfRule>
  </conditionalFormatting>
  <conditionalFormatting sqref="C6:AX12">
    <cfRule type="cellIs" dxfId="9" priority="10" stopIfTrue="1" operator="equal">
      <formula>"Personal Tasks"</formula>
    </cfRule>
  </conditionalFormatting>
  <conditionalFormatting sqref="C6:AX12">
    <cfRule type="cellIs" dxfId="10" priority="11" stopIfTrue="1" operator="equal">
      <formula>"Wasted Time"</formula>
    </cfRule>
  </conditionalFormatting>
  <conditionalFormatting sqref="C6:AX12">
    <cfRule type="cellIs" dxfId="11" priority="12" stopIfTrue="1" operator="equal">
      <formula>"Sleep"</formula>
    </cfRule>
  </conditionalFormatting>
  <conditionalFormatting sqref="AZ4:BB38">
    <cfRule type="expression" dxfId="12" priority="13" stopIfTrue="1">
      <formula>$AZ4=TRUE</formula>
    </cfRule>
  </conditionalFormatting>
  <dataValidations>
    <dataValidation type="list" allowBlank="1" showInputMessage="1" showErrorMessage="1" prompt="Pick an activity — each block is 30 minutes." sqref="C6:AX12">
      <formula1>'⚙️ Config'!$A$2:$A$13</formula1>
    </dataValidation>
  </dataValidations>
  <hyperlinks>
    <hyperlink display="📅 Week 1    |    📅 Week 2    |    📅 Week 3    |    📅 Week 4    |    📊 Dashboard" location="'Week 1'!A1" ref="B2"/>
  </hyperlin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4.13"/>
    <col customWidth="1" min="3" max="50" width="3.88"/>
    <col customWidth="1" min="51" max="51" width="2.88"/>
    <col customWidth="1" min="52" max="52" width="5.63"/>
    <col customWidth="1" min="53" max="53" width="28.88"/>
    <col customWidth="1" min="54" max="54" width="31.38"/>
    <col customWidth="1" min="55" max="55" width="2.63"/>
    <col customWidth="1" min="56" max="56" width="12.13"/>
    <col customWidth="1" min="57" max="68" width="10.75"/>
    <col customWidth="1" min="69" max="69" width="10.13"/>
    <col customWidth="1" min="70" max="70" width="2.13"/>
  </cols>
  <sheetData>
    <row r="1" ht="37.5" customHeight="1">
      <c r="A1" s="17"/>
      <c r="B1" s="18" t="s">
        <v>63</v>
      </c>
      <c r="AY1" s="17"/>
      <c r="AZ1" s="19" t="s">
        <v>37</v>
      </c>
      <c r="BL1" s="17"/>
      <c r="BM1" s="17"/>
      <c r="BN1" s="17"/>
      <c r="BO1" s="17"/>
      <c r="BP1" s="17"/>
      <c r="BQ1" s="17"/>
      <c r="BR1" s="17"/>
    </row>
    <row r="2" ht="21.0" customHeight="1">
      <c r="A2" s="17"/>
      <c r="B2" s="20" t="s">
        <v>64</v>
      </c>
      <c r="AY2" s="17"/>
      <c r="AZ2" s="21" t="s">
        <v>40</v>
      </c>
      <c r="BL2" s="17"/>
      <c r="BM2" s="17"/>
      <c r="BN2" s="17"/>
      <c r="BO2" s="17"/>
      <c r="BP2" s="17"/>
      <c r="BQ2" s="17"/>
      <c r="BR2" s="17"/>
    </row>
    <row r="3" ht="22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22" t="s">
        <v>42</v>
      </c>
      <c r="BC3" s="17"/>
      <c r="BD3" s="22" t="s">
        <v>43</v>
      </c>
      <c r="BR3" s="17"/>
    </row>
    <row r="4" ht="19.5" customHeight="1">
      <c r="A4" s="17"/>
      <c r="B4" s="23" t="s">
        <v>44</v>
      </c>
      <c r="C4" s="24">
        <v>0.0</v>
      </c>
      <c r="D4" s="25"/>
      <c r="E4" s="24">
        <v>1.0</v>
      </c>
      <c r="F4" s="25"/>
      <c r="G4" s="24">
        <v>2.0</v>
      </c>
      <c r="H4" s="25"/>
      <c r="I4" s="24">
        <v>3.0</v>
      </c>
      <c r="J4" s="25"/>
      <c r="K4" s="24">
        <v>4.0</v>
      </c>
      <c r="L4" s="25"/>
      <c r="M4" s="24">
        <v>5.0</v>
      </c>
      <c r="N4" s="25"/>
      <c r="O4" s="26">
        <v>6.0</v>
      </c>
      <c r="P4" s="25"/>
      <c r="Q4" s="26">
        <v>7.0</v>
      </c>
      <c r="R4" s="25"/>
      <c r="S4" s="26">
        <v>8.0</v>
      </c>
      <c r="T4" s="25"/>
      <c r="U4" s="26">
        <v>9.0</v>
      </c>
      <c r="V4" s="25"/>
      <c r="W4" s="26">
        <v>10.0</v>
      </c>
      <c r="X4" s="25"/>
      <c r="Y4" s="26">
        <v>11.0</v>
      </c>
      <c r="Z4" s="25"/>
      <c r="AA4" s="27">
        <v>12.0</v>
      </c>
      <c r="AB4" s="25"/>
      <c r="AC4" s="27">
        <v>13.0</v>
      </c>
      <c r="AD4" s="25"/>
      <c r="AE4" s="27">
        <v>14.0</v>
      </c>
      <c r="AF4" s="25"/>
      <c r="AG4" s="27">
        <v>15.0</v>
      </c>
      <c r="AH4" s="25"/>
      <c r="AI4" s="27">
        <v>16.0</v>
      </c>
      <c r="AJ4" s="25"/>
      <c r="AK4" s="27">
        <v>17.0</v>
      </c>
      <c r="AL4" s="25"/>
      <c r="AM4" s="28">
        <v>18.0</v>
      </c>
      <c r="AN4" s="25"/>
      <c r="AO4" s="28">
        <v>19.0</v>
      </c>
      <c r="AP4" s="25"/>
      <c r="AQ4" s="28">
        <v>20.0</v>
      </c>
      <c r="AR4" s="25"/>
      <c r="AS4" s="28">
        <v>21.0</v>
      </c>
      <c r="AT4" s="25"/>
      <c r="AU4" s="28">
        <v>22.0</v>
      </c>
      <c r="AV4" s="25"/>
      <c r="AW4" s="28">
        <v>23.0</v>
      </c>
      <c r="AX4" s="25"/>
      <c r="AY4" s="17"/>
      <c r="AZ4" s="29" t="s">
        <v>45</v>
      </c>
      <c r="BA4" s="30"/>
      <c r="BB4" s="25"/>
      <c r="BC4" s="17"/>
      <c r="BD4" s="31" t="s">
        <v>46</v>
      </c>
      <c r="BE4" s="31" t="s">
        <v>47</v>
      </c>
      <c r="BF4" s="31" t="s">
        <v>49</v>
      </c>
      <c r="BG4" s="31" t="s">
        <v>50</v>
      </c>
      <c r="BH4" s="31" t="s">
        <v>51</v>
      </c>
      <c r="BI4" s="31" t="s">
        <v>52</v>
      </c>
      <c r="BJ4" s="31" t="s">
        <v>53</v>
      </c>
      <c r="BK4" s="31" t="s">
        <v>54</v>
      </c>
      <c r="BL4" s="31" t="s">
        <v>55</v>
      </c>
      <c r="BM4" s="31" t="s">
        <v>56</v>
      </c>
      <c r="BN4" s="31" t="s">
        <v>57</v>
      </c>
      <c r="BO4" s="31" t="s">
        <v>58</v>
      </c>
      <c r="BP4" s="31" t="s">
        <v>59</v>
      </c>
      <c r="BQ4" s="31" t="s">
        <v>60</v>
      </c>
      <c r="BR4" s="17"/>
    </row>
    <row r="5" ht="16.5" customHeight="1">
      <c r="A5" s="17"/>
      <c r="B5" s="32"/>
      <c r="C5" s="33">
        <v>0.0</v>
      </c>
      <c r="D5" s="33">
        <v>30.0</v>
      </c>
      <c r="E5" s="33">
        <v>0.0</v>
      </c>
      <c r="F5" s="33">
        <v>30.0</v>
      </c>
      <c r="G5" s="33">
        <v>0.0</v>
      </c>
      <c r="H5" s="33">
        <v>30.0</v>
      </c>
      <c r="I5" s="33">
        <v>0.0</v>
      </c>
      <c r="J5" s="33">
        <v>30.0</v>
      </c>
      <c r="K5" s="33">
        <v>0.0</v>
      </c>
      <c r="L5" s="33">
        <v>30.0</v>
      </c>
      <c r="M5" s="33">
        <v>0.0</v>
      </c>
      <c r="N5" s="33">
        <v>30.0</v>
      </c>
      <c r="O5" s="33">
        <v>0.0</v>
      </c>
      <c r="P5" s="33">
        <v>30.0</v>
      </c>
      <c r="Q5" s="33">
        <v>0.0</v>
      </c>
      <c r="R5" s="33">
        <v>30.0</v>
      </c>
      <c r="S5" s="33">
        <v>0.0</v>
      </c>
      <c r="T5" s="33">
        <v>30.0</v>
      </c>
      <c r="U5" s="33">
        <v>0.0</v>
      </c>
      <c r="V5" s="33">
        <v>30.0</v>
      </c>
      <c r="W5" s="33">
        <v>0.0</v>
      </c>
      <c r="X5" s="33">
        <v>30.0</v>
      </c>
      <c r="Y5" s="33">
        <v>0.0</v>
      </c>
      <c r="Z5" s="33">
        <v>30.0</v>
      </c>
      <c r="AA5" s="33">
        <v>0.0</v>
      </c>
      <c r="AB5" s="33">
        <v>30.0</v>
      </c>
      <c r="AC5" s="33">
        <v>0.0</v>
      </c>
      <c r="AD5" s="33">
        <v>30.0</v>
      </c>
      <c r="AE5" s="33">
        <v>0.0</v>
      </c>
      <c r="AF5" s="33">
        <v>30.0</v>
      </c>
      <c r="AG5" s="33">
        <v>0.0</v>
      </c>
      <c r="AH5" s="33">
        <v>30.0</v>
      </c>
      <c r="AI5" s="33">
        <v>0.0</v>
      </c>
      <c r="AJ5" s="33">
        <v>30.0</v>
      </c>
      <c r="AK5" s="33">
        <v>0.0</v>
      </c>
      <c r="AL5" s="33">
        <v>30.0</v>
      </c>
      <c r="AM5" s="33">
        <v>0.0</v>
      </c>
      <c r="AN5" s="33">
        <v>30.0</v>
      </c>
      <c r="AO5" s="33">
        <v>0.0</v>
      </c>
      <c r="AP5" s="33">
        <v>30.0</v>
      </c>
      <c r="AQ5" s="33">
        <v>0.0</v>
      </c>
      <c r="AR5" s="33">
        <v>30.0</v>
      </c>
      <c r="AS5" s="33">
        <v>0.0</v>
      </c>
      <c r="AT5" s="33">
        <v>30.0</v>
      </c>
      <c r="AU5" s="33">
        <v>0.0</v>
      </c>
      <c r="AV5" s="33">
        <v>30.0</v>
      </c>
      <c r="AW5" s="33">
        <v>0.0</v>
      </c>
      <c r="AX5" s="33">
        <v>30.0</v>
      </c>
      <c r="AY5" s="17"/>
      <c r="AZ5" s="34" t="b">
        <v>0</v>
      </c>
      <c r="BA5" s="35"/>
      <c r="BB5" s="35"/>
      <c r="BC5" s="17"/>
      <c r="BD5" s="36" t="s">
        <v>62</v>
      </c>
      <c r="BE5" s="37">
        <f>COUNTIF($C$6:$AX$6,"codding")*0.5</f>
        <v>0</v>
      </c>
      <c r="BF5" s="37">
        <f>COUNTIF($C$6:$AX$6,"learn-prog")*0.5</f>
        <v>0</v>
      </c>
      <c r="BG5" s="37">
        <f>COUNTIF($C$6:$AX$6,"En-book")*0.5</f>
        <v>0</v>
      </c>
      <c r="BH5" s="37">
        <f>COUNTIF($C$6:$AX$6,"En-listening")*0.5</f>
        <v>0</v>
      </c>
      <c r="BI5" s="37">
        <f>COUNTIF($C$6:$AX$6,"Run")*0.5</f>
        <v>0</v>
      </c>
      <c r="BJ5" s="37">
        <f>COUNTIF($C$6:$AX$6,"Gym")*0.5</f>
        <v>0</v>
      </c>
      <c r="BK5" s="37">
        <f>COUNTIF($C$6:$AX$6,"work")*0.5</f>
        <v>0</v>
      </c>
      <c r="BL5" s="37">
        <f>COUNTIF($C$6:$AX$6,"Meditation")*0.5</f>
        <v>0</v>
      </c>
      <c r="BM5" s="37">
        <f>COUNTIF($C$6:$AX$6,"Setar")*0.5</f>
        <v>0</v>
      </c>
      <c r="BN5" s="37">
        <f>COUNTIF($C$6:$AX$6,"Personal Tasks")*0.5</f>
        <v>0</v>
      </c>
      <c r="BO5" s="37">
        <f>COUNTIF($C$6:$AX$6,"Wasted Time")*0.5</f>
        <v>0</v>
      </c>
      <c r="BP5" s="37">
        <f>COUNTIF($C$6:$AX$6,"Sleep")*0.5</f>
        <v>0</v>
      </c>
      <c r="BQ5" s="38">
        <f t="shared" ref="BQ5:BQ11" si="1">SUM(BE5:BP5)</f>
        <v>0</v>
      </c>
      <c r="BR5" s="17"/>
    </row>
    <row r="6" ht="27.0" customHeight="1">
      <c r="A6" s="17"/>
      <c r="B6" s="39" t="str">
        <f>"Monday"&amp;CHAR(10)&amp;TEXT(MONTH_START+14,"d mmm")</f>
        <v>Monday
31 Aug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17"/>
      <c r="AZ6" s="34" t="b">
        <v>0</v>
      </c>
      <c r="BA6" s="35"/>
      <c r="BB6" s="35"/>
      <c r="BC6" s="17"/>
      <c r="BD6" s="36" t="s">
        <v>65</v>
      </c>
      <c r="BE6" s="37">
        <f>COUNTIF($C$7:$AX$7,"codding")*0.5</f>
        <v>0</v>
      </c>
      <c r="BF6" s="37">
        <f>COUNTIF($C$7:$AX$7,"learn-prog")*0.5</f>
        <v>0</v>
      </c>
      <c r="BG6" s="37">
        <f>COUNTIF($C$7:$AX$7,"En-book")*0.5</f>
        <v>0</v>
      </c>
      <c r="BH6" s="37">
        <f>COUNTIF($C$7:$AX$7,"En-listening")*0.5</f>
        <v>0</v>
      </c>
      <c r="BI6" s="37">
        <f>COUNTIF($C$7:$AX$7,"Run")*0.5</f>
        <v>0</v>
      </c>
      <c r="BJ6" s="37">
        <f>COUNTIF($C$7:$AX$7,"Gym")*0.5</f>
        <v>0</v>
      </c>
      <c r="BK6" s="37">
        <f>COUNTIF($C$7:$AX$7,"work")*0.5</f>
        <v>0</v>
      </c>
      <c r="BL6" s="37">
        <f>COUNTIF($C$7:$AX$7,"Meditation")*0.5</f>
        <v>0</v>
      </c>
      <c r="BM6" s="37">
        <f>COUNTIF($C$7:$AX$7,"Setar")*0.5</f>
        <v>0</v>
      </c>
      <c r="BN6" s="37">
        <f>COUNTIF($C$7:$AX$7,"Personal Tasks")*0.5</f>
        <v>0</v>
      </c>
      <c r="BO6" s="37">
        <f>COUNTIF($C$7:$AX$7,"Wasted Time")*0.5</f>
        <v>0</v>
      </c>
      <c r="BP6" s="37">
        <f>COUNTIF($C$7:$AX$7,"Sleep")*0.5</f>
        <v>0</v>
      </c>
      <c r="BQ6" s="38">
        <f t="shared" si="1"/>
        <v>0</v>
      </c>
      <c r="BR6" s="17"/>
    </row>
    <row r="7" ht="27.0" customHeight="1">
      <c r="A7" s="17"/>
      <c r="B7" s="39" t="str">
        <f>"Tuesday"&amp;CHAR(10)&amp;TEXT(MONTH_START+15,"d mmm")</f>
        <v>Tuesday
1 Sep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17"/>
      <c r="AZ7" s="34" t="b">
        <v>0</v>
      </c>
      <c r="BA7" s="35"/>
      <c r="BB7" s="35"/>
      <c r="BC7" s="17"/>
      <c r="BD7" s="36" t="s">
        <v>66</v>
      </c>
      <c r="BE7" s="37">
        <f>COUNTIF($C$8:$AX$8,"codding")*0.5</f>
        <v>0</v>
      </c>
      <c r="BF7" s="37">
        <f>COUNTIF($C$8:$AX$8,"learn-prog")*0.5</f>
        <v>0</v>
      </c>
      <c r="BG7" s="37">
        <f>COUNTIF($C$8:$AX$8,"En-book")*0.5</f>
        <v>0</v>
      </c>
      <c r="BH7" s="37">
        <f>COUNTIF($C$8:$AX$8,"En-listening")*0.5</f>
        <v>0</v>
      </c>
      <c r="BI7" s="37">
        <f>COUNTIF($C$8:$AX$8,"Run")*0.5</f>
        <v>0</v>
      </c>
      <c r="BJ7" s="37">
        <f>COUNTIF($C$8:$AX$8,"Gym")*0.5</f>
        <v>0</v>
      </c>
      <c r="BK7" s="37">
        <f>COUNTIF($C$8:$AX$8,"work")*0.5</f>
        <v>0</v>
      </c>
      <c r="BL7" s="37">
        <f>COUNTIF($C$8:$AX$8,"Meditation")*0.5</f>
        <v>0</v>
      </c>
      <c r="BM7" s="37">
        <f>COUNTIF($C$8:$AX$8,"Setar")*0.5</f>
        <v>0</v>
      </c>
      <c r="BN7" s="37">
        <f>COUNTIF($C$8:$AX$8,"Personal Tasks")*0.5</f>
        <v>0</v>
      </c>
      <c r="BO7" s="37">
        <f>COUNTIF($C$8:$AX$8,"Wasted Time")*0.5</f>
        <v>0</v>
      </c>
      <c r="BP7" s="37">
        <f>COUNTIF($C$8:$AX$8,"Sleep")*0.5</f>
        <v>0</v>
      </c>
      <c r="BQ7" s="38">
        <f t="shared" si="1"/>
        <v>0</v>
      </c>
      <c r="BR7" s="17"/>
    </row>
    <row r="8" ht="27.0" customHeight="1">
      <c r="A8" s="17"/>
      <c r="B8" s="39" t="str">
        <f>"Wednesday"&amp;CHAR(10)&amp;TEXT(MONTH_START+16,"d mmm")</f>
        <v>Wednesday
2 Sep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17"/>
      <c r="AZ8" s="34" t="b">
        <v>0</v>
      </c>
      <c r="BA8" s="35"/>
      <c r="BB8" s="35"/>
      <c r="BC8" s="17"/>
      <c r="BD8" s="36" t="s">
        <v>67</v>
      </c>
      <c r="BE8" s="37">
        <f>COUNTIF($C$9:$AX$9,"codding")*0.5</f>
        <v>0</v>
      </c>
      <c r="BF8" s="37">
        <f>COUNTIF($C$9:$AX$9,"learn-prog")*0.5</f>
        <v>0</v>
      </c>
      <c r="BG8" s="37">
        <f>COUNTIF($C$9:$AX$9,"En-book")*0.5</f>
        <v>0</v>
      </c>
      <c r="BH8" s="37">
        <f>COUNTIF($C$9:$AX$9,"En-listening")*0.5</f>
        <v>0</v>
      </c>
      <c r="BI8" s="37">
        <f>COUNTIF($C$9:$AX$9,"Run")*0.5</f>
        <v>0</v>
      </c>
      <c r="BJ8" s="37">
        <f>COUNTIF($C$9:$AX$9,"Gym")*0.5</f>
        <v>0</v>
      </c>
      <c r="BK8" s="37">
        <f>COUNTIF($C$9:$AX$9,"work")*0.5</f>
        <v>0</v>
      </c>
      <c r="BL8" s="37">
        <f>COUNTIF($C$9:$AX$9,"Meditation")*0.5</f>
        <v>0</v>
      </c>
      <c r="BM8" s="37">
        <f>COUNTIF($C$9:$AX$9,"Setar")*0.5</f>
        <v>0</v>
      </c>
      <c r="BN8" s="37">
        <f>COUNTIF($C$9:$AX$9,"Personal Tasks")*0.5</f>
        <v>0</v>
      </c>
      <c r="BO8" s="37">
        <f>COUNTIF($C$9:$AX$9,"Wasted Time")*0.5</f>
        <v>0</v>
      </c>
      <c r="BP8" s="37">
        <f>COUNTIF($C$9:$AX$9,"Sleep")*0.5</f>
        <v>0</v>
      </c>
      <c r="BQ8" s="38">
        <f t="shared" si="1"/>
        <v>0</v>
      </c>
      <c r="BR8" s="17"/>
    </row>
    <row r="9" ht="27.0" customHeight="1">
      <c r="A9" s="17"/>
      <c r="B9" s="39" t="str">
        <f>"Thursday"&amp;CHAR(10)&amp;TEXT(MONTH_START+17,"d mmm")</f>
        <v>Thursday
3 Sep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17"/>
      <c r="AZ9" s="29" t="s">
        <v>68</v>
      </c>
      <c r="BA9" s="30"/>
      <c r="BB9" s="25"/>
      <c r="BC9" s="17"/>
      <c r="BD9" s="41" t="s">
        <v>69</v>
      </c>
      <c r="BE9" s="37">
        <f>COUNTIF($C$10:$AX$10,"codding")*0.5</f>
        <v>0</v>
      </c>
      <c r="BF9" s="37">
        <f>COUNTIF($C$10:$AX$10,"learn-prog")*0.5</f>
        <v>0</v>
      </c>
      <c r="BG9" s="37">
        <f>COUNTIF($C$10:$AX$10,"En-book")*0.5</f>
        <v>0</v>
      </c>
      <c r="BH9" s="37">
        <f>COUNTIF($C$10:$AX$10,"En-listening")*0.5</f>
        <v>0</v>
      </c>
      <c r="BI9" s="37">
        <f>COUNTIF($C$10:$AX$10,"Run")*0.5</f>
        <v>0</v>
      </c>
      <c r="BJ9" s="37">
        <f>COUNTIF($C$10:$AX$10,"Gym")*0.5</f>
        <v>0</v>
      </c>
      <c r="BK9" s="37">
        <f>COUNTIF($C$10:$AX$10,"work")*0.5</f>
        <v>0</v>
      </c>
      <c r="BL9" s="37">
        <f>COUNTIF($C$10:$AX$10,"Meditation")*0.5</f>
        <v>0</v>
      </c>
      <c r="BM9" s="37">
        <f>COUNTIF($C$10:$AX$10,"Setar")*0.5</f>
        <v>0</v>
      </c>
      <c r="BN9" s="37">
        <f>COUNTIF($C$10:$AX$10,"Personal Tasks")*0.5</f>
        <v>0</v>
      </c>
      <c r="BO9" s="37">
        <f>COUNTIF($C$10:$AX$10,"Wasted Time")*0.5</f>
        <v>0</v>
      </c>
      <c r="BP9" s="37">
        <f>COUNTIF($C$10:$AX$10,"Sleep")*0.5</f>
        <v>0</v>
      </c>
      <c r="BQ9" s="38">
        <f t="shared" si="1"/>
        <v>0</v>
      </c>
      <c r="BR9" s="17"/>
    </row>
    <row r="10" ht="27.0" customHeight="1">
      <c r="A10" s="17"/>
      <c r="B10" s="42" t="str">
        <f>"Friday"&amp;CHAR(10)&amp;TEXT(MONTH_START+18,"d mmm")</f>
        <v>Friday
4 Sep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17"/>
      <c r="AZ10" s="34" t="b">
        <v>0</v>
      </c>
      <c r="BA10" s="35"/>
      <c r="BB10" s="35"/>
      <c r="BC10" s="17"/>
      <c r="BD10" s="36" t="s">
        <v>70</v>
      </c>
      <c r="BE10" s="37">
        <f>COUNTIF($C$11:$AX$11,"codding")*0.5</f>
        <v>0</v>
      </c>
      <c r="BF10" s="37">
        <f>COUNTIF($C$11:$AX$11,"learn-prog")*0.5</f>
        <v>0</v>
      </c>
      <c r="BG10" s="37">
        <f>COUNTIF($C$11:$AX$11,"En-book")*0.5</f>
        <v>0</v>
      </c>
      <c r="BH10" s="37">
        <f>COUNTIF($C$11:$AX$11,"En-listening")*0.5</f>
        <v>0</v>
      </c>
      <c r="BI10" s="37">
        <f>COUNTIF($C$11:$AX$11,"Run")*0.5</f>
        <v>0</v>
      </c>
      <c r="BJ10" s="37">
        <f>COUNTIF($C$11:$AX$11,"Gym")*0.5</f>
        <v>0</v>
      </c>
      <c r="BK10" s="37">
        <f>COUNTIF($C$11:$AX$11,"work")*0.5</f>
        <v>0</v>
      </c>
      <c r="BL10" s="37">
        <f>COUNTIF($C$11:$AX$11,"Meditation")*0.5</f>
        <v>0</v>
      </c>
      <c r="BM10" s="37">
        <f>COUNTIF($C$11:$AX$11,"Setar")*0.5</f>
        <v>0</v>
      </c>
      <c r="BN10" s="37">
        <f>COUNTIF($C$11:$AX$11,"Personal Tasks")*0.5</f>
        <v>0</v>
      </c>
      <c r="BO10" s="37">
        <f>COUNTIF($C$11:$AX$11,"Wasted Time")*0.5</f>
        <v>0</v>
      </c>
      <c r="BP10" s="37">
        <f>COUNTIF($C$11:$AX$11,"Sleep")*0.5</f>
        <v>0</v>
      </c>
      <c r="BQ10" s="38">
        <f t="shared" si="1"/>
        <v>0</v>
      </c>
      <c r="BR10" s="17"/>
    </row>
    <row r="11" ht="27.0" customHeight="1">
      <c r="A11" s="17"/>
      <c r="B11" s="39" t="str">
        <f>"Saturday"&amp;CHAR(10)&amp;TEXT(MONTH_START+19,"d mmm")</f>
        <v>Saturday
5 Sep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17"/>
      <c r="AZ11" s="34" t="b">
        <v>0</v>
      </c>
      <c r="BA11" s="35"/>
      <c r="BB11" s="35"/>
      <c r="BC11" s="17"/>
      <c r="BD11" s="36" t="s">
        <v>71</v>
      </c>
      <c r="BE11" s="37">
        <f>COUNTIF($C$12:$AX$12,"codding")*0.5</f>
        <v>0</v>
      </c>
      <c r="BF11" s="37">
        <f>COUNTIF($C$12:$AX$12,"learn-prog")*0.5</f>
        <v>0</v>
      </c>
      <c r="BG11" s="37">
        <f>COUNTIF($C$12:$AX$12,"En-book")*0.5</f>
        <v>0</v>
      </c>
      <c r="BH11" s="37">
        <f>COUNTIF($C$12:$AX$12,"En-listening")*0.5</f>
        <v>0</v>
      </c>
      <c r="BI11" s="37">
        <f>COUNTIF($C$12:$AX$12,"Run")*0.5</f>
        <v>0</v>
      </c>
      <c r="BJ11" s="37">
        <f>COUNTIF($C$12:$AX$12,"Gym")*0.5</f>
        <v>0</v>
      </c>
      <c r="BK11" s="37">
        <f>COUNTIF($C$12:$AX$12,"work")*0.5</f>
        <v>0</v>
      </c>
      <c r="BL11" s="37">
        <f>COUNTIF($C$12:$AX$12,"Meditation")*0.5</f>
        <v>0</v>
      </c>
      <c r="BM11" s="37">
        <f>COUNTIF($C$12:$AX$12,"Setar")*0.5</f>
        <v>0</v>
      </c>
      <c r="BN11" s="37">
        <f>COUNTIF($C$12:$AX$12,"Personal Tasks")*0.5</f>
        <v>0</v>
      </c>
      <c r="BO11" s="37">
        <f>COUNTIF($C$12:$AX$12,"Wasted Time")*0.5</f>
        <v>0</v>
      </c>
      <c r="BP11" s="37">
        <f>COUNTIF($C$12:$AX$12,"Sleep")*0.5</f>
        <v>0</v>
      </c>
      <c r="BQ11" s="38">
        <f t="shared" si="1"/>
        <v>0</v>
      </c>
      <c r="BR11" s="17"/>
    </row>
    <row r="12" ht="27.0" customHeight="1">
      <c r="A12" s="17"/>
      <c r="B12" s="39" t="str">
        <f>"Sunday"&amp;CHAR(10)&amp;TEXT(MONTH_START+20,"d mmm")</f>
        <v>Sunday
6 Sep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17"/>
      <c r="AZ12" s="34" t="b">
        <v>0</v>
      </c>
      <c r="BA12" s="35"/>
      <c r="BB12" s="35"/>
      <c r="BC12" s="17"/>
      <c r="BD12" s="43" t="s">
        <v>72</v>
      </c>
      <c r="BE12" s="44">
        <f t="shared" ref="BE12:BQ12" si="2">SUM(BE5:BE11)</f>
        <v>0</v>
      </c>
      <c r="BF12" s="44">
        <f t="shared" si="2"/>
        <v>0</v>
      </c>
      <c r="BG12" s="44">
        <f t="shared" si="2"/>
        <v>0</v>
      </c>
      <c r="BH12" s="44">
        <f t="shared" si="2"/>
        <v>0</v>
      </c>
      <c r="BI12" s="44">
        <f t="shared" si="2"/>
        <v>0</v>
      </c>
      <c r="BJ12" s="44">
        <f t="shared" si="2"/>
        <v>0</v>
      </c>
      <c r="BK12" s="44">
        <f t="shared" si="2"/>
        <v>0</v>
      </c>
      <c r="BL12" s="44">
        <f t="shared" si="2"/>
        <v>0</v>
      </c>
      <c r="BM12" s="44">
        <f t="shared" si="2"/>
        <v>0</v>
      </c>
      <c r="BN12" s="44">
        <f t="shared" si="2"/>
        <v>0</v>
      </c>
      <c r="BO12" s="44">
        <f t="shared" si="2"/>
        <v>0</v>
      </c>
      <c r="BP12" s="44">
        <f t="shared" si="2"/>
        <v>0</v>
      </c>
      <c r="BQ12" s="44">
        <f t="shared" si="2"/>
        <v>0</v>
      </c>
      <c r="BR12" s="17"/>
    </row>
    <row r="13" ht="18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34" t="b">
        <v>0</v>
      </c>
      <c r="BA13" s="35"/>
      <c r="BB13" s="35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</row>
    <row r="14" ht="22.5" customHeight="1">
      <c r="A14" s="17"/>
      <c r="B14" s="45" t="s">
        <v>73</v>
      </c>
      <c r="C14" s="46" t="s">
        <v>47</v>
      </c>
      <c r="G14" s="47" t="s">
        <v>49</v>
      </c>
      <c r="K14" s="48" t="s">
        <v>50</v>
      </c>
      <c r="O14" s="49" t="s">
        <v>51</v>
      </c>
      <c r="S14" s="50" t="s">
        <v>52</v>
      </c>
      <c r="W14" s="51" t="s">
        <v>53</v>
      </c>
      <c r="AA14" s="52" t="s">
        <v>54</v>
      </c>
      <c r="AE14" s="53" t="s">
        <v>55</v>
      </c>
      <c r="AI14" s="54" t="s">
        <v>56</v>
      </c>
      <c r="AM14" s="55" t="s">
        <v>57</v>
      </c>
      <c r="AQ14" s="56" t="s">
        <v>58</v>
      </c>
      <c r="AU14" s="57" t="s">
        <v>59</v>
      </c>
      <c r="AY14" s="17"/>
      <c r="AZ14" s="29" t="s">
        <v>74</v>
      </c>
      <c r="BA14" s="30"/>
      <c r="BB14" s="25"/>
      <c r="BC14" s="17"/>
      <c r="BD14" s="58" t="s">
        <v>75</v>
      </c>
      <c r="BR14" s="17"/>
    </row>
    <row r="15" ht="18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34" t="b">
        <v>0</v>
      </c>
      <c r="BA15" s="35"/>
      <c r="BB15" s="35"/>
      <c r="BC15" s="17"/>
      <c r="BD15" s="59" t="s">
        <v>76</v>
      </c>
      <c r="BH15" s="17"/>
      <c r="BI15" s="59" t="s">
        <v>77</v>
      </c>
      <c r="BL15" s="17"/>
      <c r="BM15" s="59" t="s">
        <v>78</v>
      </c>
      <c r="BQ15" s="17"/>
      <c r="BR15" s="17"/>
    </row>
    <row r="16" ht="22.5" customHeight="1">
      <c r="A16" s="17"/>
      <c r="B16" s="58" t="s">
        <v>79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34" t="b">
        <v>0</v>
      </c>
      <c r="BA16" s="35"/>
      <c r="BB16" s="35"/>
      <c r="BC16" s="17"/>
      <c r="BD16" s="60" t="str">
        <f t="array" ref="BD16">IF(AND(TODAY()&gt;=MONTH_START+14,TODAY()&lt;=MONTH_START+20),INDEX($BE$20:$BE$26,TODAY()-(MONTH_START+14)+1),"—")</f>
        <v>—</v>
      </c>
      <c r="BH16" s="17"/>
      <c r="BI16" s="60">
        <f>$BE$27</f>
        <v>0</v>
      </c>
      <c r="BL16" s="17"/>
      <c r="BM16" s="60">
        <f>$BE$28</f>
        <v>0</v>
      </c>
      <c r="BQ16" s="17"/>
      <c r="BR16" s="17"/>
    </row>
    <row r="17">
      <c r="A17" s="17"/>
      <c r="B17" s="61" t="s">
        <v>0</v>
      </c>
      <c r="C17" s="30"/>
      <c r="D17" s="30"/>
      <c r="E17" s="25"/>
      <c r="F17" s="61" t="s">
        <v>80</v>
      </c>
      <c r="G17" s="30"/>
      <c r="H17" s="25"/>
      <c r="I17" s="61" t="s">
        <v>81</v>
      </c>
      <c r="J17" s="30"/>
      <c r="K17" s="25"/>
      <c r="L17" s="61" t="s">
        <v>82</v>
      </c>
      <c r="M17" s="30"/>
      <c r="N17" s="30"/>
      <c r="O17" s="30"/>
      <c r="P17" s="30"/>
      <c r="Q17" s="30"/>
      <c r="R17" s="25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34" t="b">
        <v>0</v>
      </c>
      <c r="BA17" s="35"/>
      <c r="BB17" s="35"/>
      <c r="BC17" s="17"/>
      <c r="BH17" s="17"/>
      <c r="BL17" s="17"/>
      <c r="BQ17" s="17"/>
      <c r="BR17" s="17"/>
    </row>
    <row r="18" ht="18.0" customHeight="1">
      <c r="A18" s="17"/>
      <c r="B18" s="62" t="s">
        <v>47</v>
      </c>
      <c r="C18" s="30"/>
      <c r="D18" s="30"/>
      <c r="E18" s="25"/>
      <c r="F18" s="63">
        <f>COUNTIF($C$6:$AX$12,"codding")*0.5</f>
        <v>0</v>
      </c>
      <c r="G18" s="30"/>
      <c r="H18" s="25"/>
      <c r="I18" s="64">
        <f>$F$18/168</f>
        <v>0</v>
      </c>
      <c r="J18" s="30"/>
      <c r="K18" s="25"/>
      <c r="L18" s="65" t="str">
        <f>IFERROR(__xludf.DUMMYFUNCTION("IFERROR(SPARKLINE($F$18,{""charttype"",""bar"";""max"",MAX($F$18:$F$29)+0.0001;""color1"",""#057c31""}),"""")"),"")</f>
        <v/>
      </c>
      <c r="M18" s="30"/>
      <c r="N18" s="30"/>
      <c r="O18" s="30"/>
      <c r="P18" s="30"/>
      <c r="Q18" s="30"/>
      <c r="R18" s="25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34" t="b">
        <v>0</v>
      </c>
      <c r="BA18" s="35"/>
      <c r="BB18" s="35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</row>
    <row r="19" ht="18.0" customHeight="1">
      <c r="A19" s="17"/>
      <c r="B19" s="62" t="s">
        <v>49</v>
      </c>
      <c r="C19" s="30"/>
      <c r="D19" s="30"/>
      <c r="E19" s="25"/>
      <c r="F19" s="63">
        <f>COUNTIF($C$6:$AX$12,"learn-prog")*0.5</f>
        <v>0</v>
      </c>
      <c r="G19" s="30"/>
      <c r="H19" s="25"/>
      <c r="I19" s="64">
        <f>$F$19/168</f>
        <v>0</v>
      </c>
      <c r="J19" s="30"/>
      <c r="K19" s="25"/>
      <c r="L19" s="65" t="str">
        <f>IFERROR(__xludf.DUMMYFUNCTION("IFERROR(SPARKLINE($F$19,{""charttype"",""bar"";""max"",MAX($F$18:$F$29)+0.0001;""color1"",""#86EFAC""}),"""")"),"")</f>
        <v/>
      </c>
      <c r="M19" s="30"/>
      <c r="N19" s="30"/>
      <c r="O19" s="30"/>
      <c r="P19" s="30"/>
      <c r="Q19" s="30"/>
      <c r="R19" s="25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29" t="s">
        <v>83</v>
      </c>
      <c r="BA19" s="30"/>
      <c r="BB19" s="25"/>
      <c r="BC19" s="17"/>
      <c r="BD19" s="66" t="s">
        <v>46</v>
      </c>
      <c r="BE19" s="66" t="s">
        <v>84</v>
      </c>
      <c r="BF19" s="67" t="s">
        <v>85</v>
      </c>
      <c r="BG19" s="30"/>
      <c r="BH19" s="25"/>
      <c r="BI19" s="17"/>
      <c r="BJ19" s="17"/>
      <c r="BK19" s="17"/>
      <c r="BL19" s="17"/>
      <c r="BM19" s="17"/>
      <c r="BN19" s="17"/>
      <c r="BO19" s="17"/>
      <c r="BP19" s="17"/>
      <c r="BQ19" s="17"/>
      <c r="BR19" s="17"/>
    </row>
    <row r="20" ht="18.0" customHeight="1">
      <c r="A20" s="17"/>
      <c r="B20" s="62" t="s">
        <v>50</v>
      </c>
      <c r="C20" s="30"/>
      <c r="D20" s="30"/>
      <c r="E20" s="25"/>
      <c r="F20" s="63">
        <f>COUNTIF($C$6:$AX$12,"En-book")*0.5</f>
        <v>0</v>
      </c>
      <c r="G20" s="30"/>
      <c r="H20" s="25"/>
      <c r="I20" s="64">
        <f>$F$20/168</f>
        <v>0</v>
      </c>
      <c r="J20" s="30"/>
      <c r="K20" s="25"/>
      <c r="L20" s="65" t="str">
        <f>IFERROR(__xludf.DUMMYFUNCTION("IFERROR(SPARKLINE($F$20,{""charttype"",""bar"";""max"",MAX($F$18:$F$29)+0.0001;""color1"",""#2563EB""}),"""")"),"")</f>
        <v/>
      </c>
      <c r="M20" s="30"/>
      <c r="N20" s="30"/>
      <c r="O20" s="30"/>
      <c r="P20" s="30"/>
      <c r="Q20" s="30"/>
      <c r="R20" s="25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34" t="b">
        <v>0</v>
      </c>
      <c r="BA20" s="35"/>
      <c r="BB20" s="35"/>
      <c r="BC20" s="17"/>
      <c r="BD20" s="36" t="s">
        <v>62</v>
      </c>
      <c r="BE20" s="38">
        <f t="shared" ref="BE20:BE26" si="3">SUM(BE5:BK5)</f>
        <v>0</v>
      </c>
      <c r="BF20" s="65" t="str">
        <f>IFERROR(__xludf.DUMMYFUNCTION("IFERROR(SPARKLINE($BE20,{""charttype"",""bar"";""max"",MAX($BE$20:$BE$26)+0.0001;""color1"",""#0D9488""}),"""")"),"")</f>
        <v/>
      </c>
      <c r="BG20" s="30"/>
      <c r="BH20" s="25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 ht="18.0" customHeight="1">
      <c r="A21" s="17"/>
      <c r="B21" s="62" t="s">
        <v>51</v>
      </c>
      <c r="C21" s="30"/>
      <c r="D21" s="30"/>
      <c r="E21" s="25"/>
      <c r="F21" s="63">
        <f>COUNTIF($C$6:$AX$12,"En-listening")*0.5</f>
        <v>0</v>
      </c>
      <c r="G21" s="30"/>
      <c r="H21" s="25"/>
      <c r="I21" s="64">
        <f>$F$21/168</f>
        <v>0</v>
      </c>
      <c r="J21" s="30"/>
      <c r="K21" s="25"/>
      <c r="L21" s="65" t="str">
        <f>IFERROR(__xludf.DUMMYFUNCTION("IFERROR(SPARKLINE($F$21,{""charttype"",""bar"";""max"",MAX($F$18:$F$29)+0.0001;""color1"",""#93C5FD""}),"""")"),"")</f>
        <v/>
      </c>
      <c r="M21" s="30"/>
      <c r="N21" s="30"/>
      <c r="O21" s="30"/>
      <c r="P21" s="30"/>
      <c r="Q21" s="30"/>
      <c r="R21" s="25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34" t="b">
        <v>0</v>
      </c>
      <c r="BA21" s="35"/>
      <c r="BB21" s="35"/>
      <c r="BC21" s="17"/>
      <c r="BD21" s="36" t="s">
        <v>65</v>
      </c>
      <c r="BE21" s="38">
        <f t="shared" si="3"/>
        <v>0</v>
      </c>
      <c r="BF21" s="65" t="str">
        <f>IFERROR(__xludf.DUMMYFUNCTION("IFERROR(SPARKLINE($BE21,{""charttype"",""bar"";""max"",MAX($BE$20:$BE$26)+0.0001;""color1"",""#0D9488""}),"""")"),"")</f>
        <v/>
      </c>
      <c r="BG21" s="30"/>
      <c r="BH21" s="25"/>
      <c r="BI21" s="17"/>
      <c r="BJ21" s="17"/>
      <c r="BK21" s="17"/>
      <c r="BL21" s="17"/>
      <c r="BM21" s="17"/>
      <c r="BN21" s="17"/>
      <c r="BO21" s="17"/>
      <c r="BP21" s="17"/>
      <c r="BQ21" s="17"/>
      <c r="BR21" s="17"/>
    </row>
    <row r="22" ht="18.0" customHeight="1">
      <c r="A22" s="17"/>
      <c r="B22" s="62" t="s">
        <v>52</v>
      </c>
      <c r="C22" s="30"/>
      <c r="D22" s="30"/>
      <c r="E22" s="25"/>
      <c r="F22" s="63">
        <f>COUNTIF($C$6:$AX$12,"Run")*0.5</f>
        <v>0</v>
      </c>
      <c r="G22" s="30"/>
      <c r="H22" s="25"/>
      <c r="I22" s="64">
        <f>$F$22/168</f>
        <v>0</v>
      </c>
      <c r="J22" s="30"/>
      <c r="K22" s="25"/>
      <c r="L22" s="65" t="str">
        <f>IFERROR(__xludf.DUMMYFUNCTION("IFERROR(SPARKLINE($F$22,{""charttype"",""bar"";""max"",MAX($F$18:$F$29)+0.0001;""color1"",""#EA580C""}),"""")"),"")</f>
        <v/>
      </c>
      <c r="M22" s="30"/>
      <c r="N22" s="30"/>
      <c r="O22" s="30"/>
      <c r="P22" s="30"/>
      <c r="Q22" s="30"/>
      <c r="R22" s="25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34" t="b">
        <v>0</v>
      </c>
      <c r="BA22" s="35"/>
      <c r="BB22" s="35"/>
      <c r="BC22" s="17"/>
      <c r="BD22" s="36" t="s">
        <v>66</v>
      </c>
      <c r="BE22" s="38">
        <f t="shared" si="3"/>
        <v>0</v>
      </c>
      <c r="BF22" s="65" t="str">
        <f>IFERROR(__xludf.DUMMYFUNCTION("IFERROR(SPARKLINE($BE22,{""charttype"",""bar"";""max"",MAX($BE$20:$BE$26)+0.0001;""color1"",""#0D9488""}),"""")"),"")</f>
        <v/>
      </c>
      <c r="BG22" s="30"/>
      <c r="BH22" s="25"/>
      <c r="BI22" s="17"/>
      <c r="BJ22" s="17"/>
      <c r="BK22" s="17"/>
      <c r="BL22" s="17"/>
      <c r="BM22" s="17"/>
      <c r="BN22" s="17"/>
      <c r="BO22" s="17"/>
      <c r="BP22" s="17"/>
      <c r="BQ22" s="17"/>
      <c r="BR22" s="17"/>
    </row>
    <row r="23" ht="18.0" customHeight="1">
      <c r="A23" s="17"/>
      <c r="B23" s="62" t="s">
        <v>53</v>
      </c>
      <c r="C23" s="30"/>
      <c r="D23" s="30"/>
      <c r="E23" s="25"/>
      <c r="F23" s="63">
        <f>COUNTIF($C$6:$AX$12,"Gym")*0.5</f>
        <v>0</v>
      </c>
      <c r="G23" s="30"/>
      <c r="H23" s="25"/>
      <c r="I23" s="64">
        <f>$F$23/168</f>
        <v>0</v>
      </c>
      <c r="J23" s="30"/>
      <c r="K23" s="25"/>
      <c r="L23" s="65" t="str">
        <f>IFERROR(__xludf.DUMMYFUNCTION("IFERROR(SPARKLINE($F$23,{""charttype"",""bar"";""max"",MAX($F$18:$F$29)+0.0001;""color1"",""#FDBA74""}),"""")"),"")</f>
        <v/>
      </c>
      <c r="M23" s="30"/>
      <c r="N23" s="30"/>
      <c r="O23" s="30"/>
      <c r="P23" s="30"/>
      <c r="Q23" s="30"/>
      <c r="R23" s="25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34" t="b">
        <v>0</v>
      </c>
      <c r="BA23" s="35"/>
      <c r="BB23" s="35"/>
      <c r="BC23" s="17"/>
      <c r="BD23" s="36" t="s">
        <v>67</v>
      </c>
      <c r="BE23" s="38">
        <f t="shared" si="3"/>
        <v>0</v>
      </c>
      <c r="BF23" s="65" t="str">
        <f>IFERROR(__xludf.DUMMYFUNCTION("IFERROR(SPARKLINE($BE23,{""charttype"",""bar"";""max"",MAX($BE$20:$BE$26)+0.0001;""color1"",""#0D9488""}),"""")"),"")</f>
        <v/>
      </c>
      <c r="BG23" s="30"/>
      <c r="BH23" s="25"/>
      <c r="BI23" s="17"/>
      <c r="BJ23" s="17"/>
      <c r="BK23" s="17"/>
      <c r="BL23" s="17"/>
      <c r="BM23" s="17"/>
      <c r="BN23" s="17"/>
      <c r="BO23" s="17"/>
      <c r="BP23" s="17"/>
      <c r="BQ23" s="17"/>
      <c r="BR23" s="17"/>
    </row>
    <row r="24" ht="18.0" customHeight="1">
      <c r="A24" s="17"/>
      <c r="B24" s="62" t="s">
        <v>54</v>
      </c>
      <c r="C24" s="30"/>
      <c r="D24" s="30"/>
      <c r="E24" s="25"/>
      <c r="F24" s="63">
        <f>COUNTIF($C$6:$AX$12,"work")*0.5</f>
        <v>0</v>
      </c>
      <c r="G24" s="30"/>
      <c r="H24" s="25"/>
      <c r="I24" s="64">
        <f>$F$24/168</f>
        <v>0</v>
      </c>
      <c r="J24" s="30"/>
      <c r="K24" s="25"/>
      <c r="L24" s="65" t="str">
        <f>IFERROR(__xludf.DUMMYFUNCTION("IFERROR(SPARKLINE($F$24,{""charttype"",""bar"";""max"",MAX($F$18:$F$29)+0.0001;""color1"",""#89fd05""}),"""")"),"")</f>
        <v/>
      </c>
      <c r="M24" s="30"/>
      <c r="N24" s="30"/>
      <c r="O24" s="30"/>
      <c r="P24" s="30"/>
      <c r="Q24" s="30"/>
      <c r="R24" s="25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8" t="s">
        <v>86</v>
      </c>
      <c r="BA24" s="30"/>
      <c r="BB24" s="25"/>
      <c r="BC24" s="17"/>
      <c r="BD24" s="41" t="s">
        <v>69</v>
      </c>
      <c r="BE24" s="38">
        <f t="shared" si="3"/>
        <v>0</v>
      </c>
      <c r="BF24" s="65" t="str">
        <f>IFERROR(__xludf.DUMMYFUNCTION("IFERROR(SPARKLINE($BE24,{""charttype"",""bar"";""max"",MAX($BE$20:$BE$26)+0.0001;""color1"",""#0D9488""}),"""")"),"")</f>
        <v/>
      </c>
      <c r="BG24" s="30"/>
      <c r="BH24" s="25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ht="18.0" customHeight="1">
      <c r="A25" s="17"/>
      <c r="B25" s="62" t="s">
        <v>55</v>
      </c>
      <c r="C25" s="30"/>
      <c r="D25" s="30"/>
      <c r="E25" s="25"/>
      <c r="F25" s="63">
        <f>COUNTIF($C$6:$AX$12,"Meditation")*0.5</f>
        <v>0</v>
      </c>
      <c r="G25" s="30"/>
      <c r="H25" s="25"/>
      <c r="I25" s="64">
        <f>$F$25/168</f>
        <v>0</v>
      </c>
      <c r="J25" s="30"/>
      <c r="K25" s="25"/>
      <c r="L25" s="65" t="str">
        <f>IFERROR(__xludf.DUMMYFUNCTION("IFERROR(SPARKLINE($F$25,{""charttype"",""bar"";""max"",MAX($F$18:$F$29)+0.0001;""color1"",""#8e029b""}),"""")"),"")</f>
        <v/>
      </c>
      <c r="M25" s="30"/>
      <c r="N25" s="30"/>
      <c r="O25" s="30"/>
      <c r="P25" s="30"/>
      <c r="Q25" s="30"/>
      <c r="R25" s="25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34" t="b">
        <v>0</v>
      </c>
      <c r="BA25" s="35"/>
      <c r="BB25" s="35"/>
      <c r="BC25" s="17"/>
      <c r="BD25" s="36" t="s">
        <v>70</v>
      </c>
      <c r="BE25" s="38">
        <f t="shared" si="3"/>
        <v>0</v>
      </c>
      <c r="BF25" s="65" t="str">
        <f>IFERROR(__xludf.DUMMYFUNCTION("IFERROR(SPARKLINE($BE25,{""charttype"",""bar"";""max"",MAX($BE$20:$BE$26)+0.0001;""color1"",""#0D9488""}),"""")"),"")</f>
        <v/>
      </c>
      <c r="BG25" s="30"/>
      <c r="BH25" s="25"/>
      <c r="BI25" s="17"/>
      <c r="BJ25" s="17"/>
      <c r="BK25" s="17"/>
      <c r="BL25" s="17"/>
      <c r="BM25" s="17"/>
      <c r="BN25" s="17"/>
      <c r="BO25" s="17"/>
      <c r="BP25" s="17"/>
      <c r="BQ25" s="17"/>
      <c r="BR25" s="17"/>
    </row>
    <row r="26" ht="18.0" customHeight="1">
      <c r="A26" s="17"/>
      <c r="B26" s="62" t="s">
        <v>56</v>
      </c>
      <c r="C26" s="30"/>
      <c r="D26" s="30"/>
      <c r="E26" s="25"/>
      <c r="F26" s="63">
        <f>COUNTIF($C$6:$AX$12,"Setar")*0.5</f>
        <v>0</v>
      </c>
      <c r="G26" s="30"/>
      <c r="H26" s="25"/>
      <c r="I26" s="64">
        <f>$F$26/168</f>
        <v>0</v>
      </c>
      <c r="J26" s="30"/>
      <c r="K26" s="25"/>
      <c r="L26" s="65" t="str">
        <f>IFERROR(__xludf.DUMMYFUNCTION("IFERROR(SPARKLINE($F$26,{""charttype"",""bar"";""max"",MAX($F$18:$F$29)+0.0001;""color1"",""#da87de""}),"""")"),"")</f>
        <v/>
      </c>
      <c r="M26" s="30"/>
      <c r="N26" s="30"/>
      <c r="O26" s="30"/>
      <c r="P26" s="30"/>
      <c r="Q26" s="30"/>
      <c r="R26" s="25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34" t="b">
        <v>0</v>
      </c>
      <c r="BA26" s="35"/>
      <c r="BB26" s="35"/>
      <c r="BC26" s="17"/>
      <c r="BD26" s="36" t="s">
        <v>71</v>
      </c>
      <c r="BE26" s="38">
        <f t="shared" si="3"/>
        <v>0</v>
      </c>
      <c r="BF26" s="65" t="str">
        <f>IFERROR(__xludf.DUMMYFUNCTION("IFERROR(SPARKLINE($BE26,{""charttype"",""bar"";""max"",MAX($BE$20:$BE$26)+0.0001;""color1"",""#0D9488""}),"""")"),"")</f>
        <v/>
      </c>
      <c r="BG26" s="30"/>
      <c r="BH26" s="25"/>
      <c r="BI26" s="17"/>
      <c r="BJ26" s="17"/>
      <c r="BK26" s="17"/>
      <c r="BL26" s="17"/>
      <c r="BM26" s="17"/>
      <c r="BN26" s="17"/>
      <c r="BO26" s="17"/>
      <c r="BP26" s="17"/>
      <c r="BQ26" s="17"/>
      <c r="BR26" s="17"/>
    </row>
    <row r="27" ht="18.0" customHeight="1">
      <c r="A27" s="17"/>
      <c r="B27" s="62" t="s">
        <v>57</v>
      </c>
      <c r="C27" s="30"/>
      <c r="D27" s="30"/>
      <c r="E27" s="25"/>
      <c r="F27" s="63">
        <f>COUNTIF($C$6:$AX$12,"Personal Tasks")*0.5</f>
        <v>0</v>
      </c>
      <c r="G27" s="30"/>
      <c r="H27" s="25"/>
      <c r="I27" s="64">
        <f>$F$27/168</f>
        <v>0</v>
      </c>
      <c r="J27" s="30"/>
      <c r="K27" s="25"/>
      <c r="L27" s="65" t="str">
        <f>IFERROR(__xludf.DUMMYFUNCTION("IFERROR(SPARKLINE($F$27,{""charttype"",""bar"";""max"",MAX($F$18:$F$29)+0.0001;""color1"",""#eeeeee""}),"""")"),"")</f>
        <v/>
      </c>
      <c r="M27" s="30"/>
      <c r="N27" s="30"/>
      <c r="O27" s="30"/>
      <c r="P27" s="30"/>
      <c r="Q27" s="30"/>
      <c r="R27" s="25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34" t="b">
        <v>0</v>
      </c>
      <c r="BA27" s="35"/>
      <c r="BB27" s="35"/>
      <c r="BC27" s="17"/>
      <c r="BD27" s="43" t="s">
        <v>72</v>
      </c>
      <c r="BE27" s="44">
        <f>SUM(BE20:BE26)</f>
        <v>0</v>
      </c>
      <c r="BF27" s="69"/>
      <c r="BG27" s="30"/>
      <c r="BH27" s="25"/>
      <c r="BI27" s="17"/>
      <c r="BJ27" s="17"/>
      <c r="BK27" s="17"/>
      <c r="BL27" s="17"/>
      <c r="BM27" s="17"/>
      <c r="BN27" s="17"/>
      <c r="BO27" s="17"/>
      <c r="BP27" s="17"/>
      <c r="BQ27" s="17"/>
      <c r="BR27" s="17"/>
    </row>
    <row r="28" ht="18.0" customHeight="1">
      <c r="A28" s="17"/>
      <c r="B28" s="62" t="s">
        <v>58</v>
      </c>
      <c r="C28" s="30"/>
      <c r="D28" s="30"/>
      <c r="E28" s="25"/>
      <c r="F28" s="63">
        <f>COUNTIF($C$6:$AX$12,"Wasted Time")*0.5</f>
        <v>0</v>
      </c>
      <c r="G28" s="30"/>
      <c r="H28" s="25"/>
      <c r="I28" s="64">
        <f>$F$28/168</f>
        <v>0</v>
      </c>
      <c r="J28" s="30"/>
      <c r="K28" s="25"/>
      <c r="L28" s="65" t="str">
        <f>IFERROR(__xludf.DUMMYFUNCTION("IFERROR(SPARKLINE($F$28,{""charttype"",""bar"";""max"",MAX($F$18:$F$29)+0.0001;""color1"",""#ff1500""}),"""")"),"")</f>
        <v/>
      </c>
      <c r="M28" s="30"/>
      <c r="N28" s="30"/>
      <c r="O28" s="30"/>
      <c r="P28" s="30"/>
      <c r="Q28" s="30"/>
      <c r="R28" s="25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34" t="b">
        <v>0</v>
      </c>
      <c r="BA28" s="35"/>
      <c r="BB28" s="35"/>
      <c r="BC28" s="17"/>
      <c r="BD28" s="70" t="s">
        <v>87</v>
      </c>
      <c r="BE28" s="71">
        <f>BE27/7</f>
        <v>0</v>
      </c>
      <c r="BF28" s="72"/>
      <c r="BG28" s="30"/>
      <c r="BH28" s="25"/>
      <c r="BI28" s="17"/>
      <c r="BJ28" s="17"/>
      <c r="BK28" s="17"/>
      <c r="BL28" s="17"/>
      <c r="BM28" s="17"/>
      <c r="BN28" s="17"/>
      <c r="BO28" s="17"/>
      <c r="BP28" s="17"/>
      <c r="BQ28" s="17"/>
      <c r="BR28" s="17"/>
    </row>
    <row r="29" ht="18.0" customHeight="1">
      <c r="A29" s="17"/>
      <c r="B29" s="62" t="s">
        <v>59</v>
      </c>
      <c r="C29" s="30"/>
      <c r="D29" s="30"/>
      <c r="E29" s="25"/>
      <c r="F29" s="63">
        <f>COUNTIF($C$6:$AX$12,"Sleep")*0.5</f>
        <v>0</v>
      </c>
      <c r="G29" s="30"/>
      <c r="H29" s="25"/>
      <c r="I29" s="64">
        <f>$F$29/168</f>
        <v>0</v>
      </c>
      <c r="J29" s="30"/>
      <c r="K29" s="25"/>
      <c r="L29" s="65" t="str">
        <f>IFERROR(__xludf.DUMMYFUNCTION("IFERROR(SPARKLINE($F$29,{""charttype"",""bar"";""max"",MAX($F$18:$F$29)+0.0001;""color1"",""#4e4d44""}),"""")"),"")</f>
        <v/>
      </c>
      <c r="M29" s="30"/>
      <c r="N29" s="30"/>
      <c r="O29" s="30"/>
      <c r="P29" s="30"/>
      <c r="Q29" s="30"/>
      <c r="R29" s="25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29" t="s">
        <v>88</v>
      </c>
      <c r="BA29" s="30"/>
      <c r="BB29" s="25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</row>
    <row r="30" ht="22.5" customHeight="1">
      <c r="A30" s="17"/>
      <c r="B30" s="73" t="s">
        <v>89</v>
      </c>
      <c r="C30" s="30"/>
      <c r="D30" s="30"/>
      <c r="E30" s="25"/>
      <c r="F30" s="74">
        <f>SUM($F$18:$F$29)</f>
        <v>0</v>
      </c>
      <c r="G30" s="30"/>
      <c r="H30" s="25"/>
      <c r="I30" s="75">
        <f>$F$30/168</f>
        <v>0</v>
      </c>
      <c r="J30" s="30"/>
      <c r="K30" s="25"/>
      <c r="L30" s="69"/>
      <c r="M30" s="30"/>
      <c r="N30" s="30"/>
      <c r="O30" s="30"/>
      <c r="P30" s="30"/>
      <c r="Q30" s="30"/>
      <c r="R30" s="25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34" t="b">
        <v>0</v>
      </c>
      <c r="BA30" s="35"/>
      <c r="BB30" s="35"/>
      <c r="BC30" s="17"/>
      <c r="BD30" s="58" t="s">
        <v>90</v>
      </c>
      <c r="BM30" s="17"/>
      <c r="BN30" s="17"/>
      <c r="BO30" s="17"/>
      <c r="BP30" s="17"/>
      <c r="BQ30" s="17"/>
      <c r="BR30" s="17"/>
    </row>
    <row r="31" ht="18.0" customHeight="1">
      <c r="A31" s="17"/>
      <c r="B31" s="76" t="s">
        <v>91</v>
      </c>
      <c r="C31" s="30"/>
      <c r="D31" s="30"/>
      <c r="E31" s="25"/>
      <c r="F31" s="77">
        <f>168-$F$30</f>
        <v>168</v>
      </c>
      <c r="G31" s="30"/>
      <c r="H31" s="25"/>
      <c r="I31" s="64">
        <f>$F$31/168</f>
        <v>1</v>
      </c>
      <c r="J31" s="30"/>
      <c r="K31" s="25"/>
      <c r="L31" s="72"/>
      <c r="M31" s="30"/>
      <c r="N31" s="30"/>
      <c r="O31" s="30"/>
      <c r="P31" s="30"/>
      <c r="Q31" s="30"/>
      <c r="R31" s="25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34" t="b">
        <v>0</v>
      </c>
      <c r="BA31" s="35"/>
      <c r="BB31" s="35"/>
      <c r="BC31" s="17"/>
      <c r="BD31" s="31" t="s">
        <v>92</v>
      </c>
      <c r="BE31" s="31" t="s">
        <v>62</v>
      </c>
      <c r="BF31" s="31" t="s">
        <v>65</v>
      </c>
      <c r="BG31" s="31" t="s">
        <v>66</v>
      </c>
      <c r="BH31" s="31" t="s">
        <v>67</v>
      </c>
      <c r="BI31" s="31" t="s">
        <v>69</v>
      </c>
      <c r="BJ31" s="31" t="s">
        <v>70</v>
      </c>
      <c r="BK31" s="31" t="s">
        <v>71</v>
      </c>
      <c r="BL31" s="31" t="s">
        <v>93</v>
      </c>
      <c r="BM31" s="17"/>
      <c r="BN31" s="17"/>
      <c r="BO31" s="17"/>
      <c r="BP31" s="17"/>
      <c r="BQ31" s="17"/>
      <c r="B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34" t="b">
        <v>0</v>
      </c>
      <c r="BA32" s="35"/>
      <c r="BB32" s="35"/>
      <c r="BC32" s="17"/>
      <c r="BD32" s="78" t="s">
        <v>94</v>
      </c>
      <c r="BE32" s="79"/>
      <c r="BF32" s="79"/>
      <c r="BG32" s="79"/>
      <c r="BH32" s="79"/>
      <c r="BI32" s="79"/>
      <c r="BJ32" s="79"/>
      <c r="BK32" s="79"/>
      <c r="BL32" s="80" t="str">
        <f t="shared" ref="BL32:BL38" si="4">IFERROR(AVERAGE(BE32:BK32),"—")</f>
        <v>—</v>
      </c>
      <c r="BM32" s="17"/>
      <c r="BN32" s="17"/>
      <c r="BO32" s="17"/>
      <c r="BP32" s="17"/>
      <c r="BQ32" s="17"/>
      <c r="BR32" s="17"/>
    </row>
    <row r="33" ht="22.5" customHeight="1">
      <c r="A33" s="17"/>
      <c r="B33" s="58" t="s">
        <v>95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34" t="b">
        <v>0</v>
      </c>
      <c r="BA33" s="35"/>
      <c r="BB33" s="35"/>
      <c r="BC33" s="17"/>
      <c r="BD33" s="78" t="s">
        <v>96</v>
      </c>
      <c r="BE33" s="81"/>
      <c r="BF33" s="81"/>
      <c r="BG33" s="81"/>
      <c r="BH33" s="81"/>
      <c r="BI33" s="81"/>
      <c r="BJ33" s="81"/>
      <c r="BK33" s="81"/>
      <c r="BL33" s="82" t="str">
        <f t="shared" si="4"/>
        <v>—</v>
      </c>
      <c r="BM33" s="17"/>
      <c r="BN33" s="17"/>
      <c r="BO33" s="17"/>
      <c r="BP33" s="17"/>
      <c r="BQ33" s="17"/>
      <c r="BR33" s="17"/>
    </row>
    <row r="34">
      <c r="A34" s="17"/>
      <c r="B34" s="61" t="s">
        <v>97</v>
      </c>
      <c r="C34" s="30"/>
      <c r="D34" s="30"/>
      <c r="E34" s="25"/>
      <c r="F34" s="61" t="s">
        <v>80</v>
      </c>
      <c r="G34" s="30"/>
      <c r="H34" s="25"/>
      <c r="I34" s="61" t="s">
        <v>81</v>
      </c>
      <c r="J34" s="30"/>
      <c r="K34" s="25"/>
      <c r="L34" s="61" t="s">
        <v>82</v>
      </c>
      <c r="M34" s="30"/>
      <c r="N34" s="30"/>
      <c r="O34" s="30"/>
      <c r="P34" s="30"/>
      <c r="Q34" s="30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29" t="s">
        <v>98</v>
      </c>
      <c r="BA34" s="30"/>
      <c r="BB34" s="25"/>
      <c r="BC34" s="17"/>
      <c r="BD34" s="78" t="s">
        <v>99</v>
      </c>
      <c r="BE34" s="83"/>
      <c r="BF34" s="83"/>
      <c r="BG34" s="83"/>
      <c r="BH34" s="83"/>
      <c r="BI34" s="83"/>
      <c r="BJ34" s="83"/>
      <c r="BK34" s="83"/>
      <c r="BL34" s="84" t="str">
        <f t="shared" si="4"/>
        <v>—</v>
      </c>
      <c r="BM34" s="17"/>
      <c r="BN34" s="17"/>
      <c r="BO34" s="17"/>
      <c r="BP34" s="17"/>
      <c r="BQ34" s="17"/>
      <c r="BR34" s="17"/>
    </row>
    <row r="35" ht="18.0" customHeight="1">
      <c r="A35" s="17"/>
      <c r="B35" s="62" t="s">
        <v>100</v>
      </c>
      <c r="C35" s="30"/>
      <c r="D35" s="30"/>
      <c r="E35" s="25"/>
      <c r="F35" s="63">
        <f>F18+F19</f>
        <v>0</v>
      </c>
      <c r="G35" s="30"/>
      <c r="H35" s="25"/>
      <c r="I35" s="64">
        <f>$F$35/168</f>
        <v>0</v>
      </c>
      <c r="J35" s="30"/>
      <c r="K35" s="25"/>
      <c r="L35" s="65" t="str">
        <f>IFERROR(__xludf.DUMMYFUNCTION("IFERROR(SPARKLINE($F$35,{""charttype"",""bar"";""max"",MAX($F$35:$F$42)+0.0001;""color1"",""#057c31""}),"""")"),"")</f>
        <v/>
      </c>
      <c r="M35" s="30"/>
      <c r="N35" s="30"/>
      <c r="O35" s="30"/>
      <c r="P35" s="30"/>
      <c r="Q35" s="30"/>
      <c r="R35" s="25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34" t="b">
        <v>0</v>
      </c>
      <c r="BA35" s="35"/>
      <c r="BB35" s="35"/>
      <c r="BC35" s="17"/>
      <c r="BD35" s="78" t="s">
        <v>101</v>
      </c>
      <c r="BE35" s="85"/>
      <c r="BF35" s="85"/>
      <c r="BG35" s="85"/>
      <c r="BH35" s="85"/>
      <c r="BI35" s="85"/>
      <c r="BJ35" s="85"/>
      <c r="BK35" s="85"/>
      <c r="BL35" s="86" t="str">
        <f t="shared" si="4"/>
        <v>—</v>
      </c>
      <c r="BM35" s="17"/>
      <c r="BN35" s="17"/>
      <c r="BO35" s="17"/>
      <c r="BP35" s="17"/>
      <c r="BQ35" s="17"/>
      <c r="BR35" s="17"/>
    </row>
    <row r="36" ht="18.0" customHeight="1">
      <c r="A36" s="17"/>
      <c r="B36" s="62" t="s">
        <v>102</v>
      </c>
      <c r="C36" s="30"/>
      <c r="D36" s="30"/>
      <c r="E36" s="25"/>
      <c r="F36" s="63">
        <f>F20+F21</f>
        <v>0</v>
      </c>
      <c r="G36" s="30"/>
      <c r="H36" s="25"/>
      <c r="I36" s="64">
        <f>$F$36/168</f>
        <v>0</v>
      </c>
      <c r="J36" s="30"/>
      <c r="K36" s="25"/>
      <c r="L36" s="65" t="str">
        <f>IFERROR(__xludf.DUMMYFUNCTION("IFERROR(SPARKLINE($F$36,{""charttype"",""bar"";""max"",MAX($F$35:$F$42)+0.0001;""color1"",""#2563EB""}),"""")"),"")</f>
        <v/>
      </c>
      <c r="M36" s="30"/>
      <c r="N36" s="30"/>
      <c r="O36" s="30"/>
      <c r="P36" s="30"/>
      <c r="Q36" s="30"/>
      <c r="R36" s="25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34" t="b">
        <v>0</v>
      </c>
      <c r="BA36" s="35"/>
      <c r="BB36" s="35"/>
      <c r="BC36" s="17"/>
      <c r="BD36" s="78" t="s">
        <v>103</v>
      </c>
      <c r="BE36" s="85"/>
      <c r="BF36" s="85"/>
      <c r="BG36" s="85"/>
      <c r="BH36" s="85"/>
      <c r="BI36" s="85"/>
      <c r="BJ36" s="85"/>
      <c r="BK36" s="85"/>
      <c r="BL36" s="86" t="str">
        <f t="shared" si="4"/>
        <v>—</v>
      </c>
      <c r="BM36" s="17"/>
      <c r="BN36" s="17"/>
      <c r="BO36" s="17"/>
      <c r="BP36" s="17"/>
      <c r="BQ36" s="17"/>
      <c r="BR36" s="17"/>
    </row>
    <row r="37" ht="18.0" customHeight="1">
      <c r="A37" s="17"/>
      <c r="B37" s="62" t="s">
        <v>104</v>
      </c>
      <c r="C37" s="30"/>
      <c r="D37" s="30"/>
      <c r="E37" s="25"/>
      <c r="F37" s="63">
        <f>F22+F23</f>
        <v>0</v>
      </c>
      <c r="G37" s="30"/>
      <c r="H37" s="25"/>
      <c r="I37" s="64">
        <f>$F$37/168</f>
        <v>0</v>
      </c>
      <c r="J37" s="30"/>
      <c r="K37" s="25"/>
      <c r="L37" s="65" t="str">
        <f>IFERROR(__xludf.DUMMYFUNCTION("IFERROR(SPARKLINE($F$37,{""charttype"",""bar"";""max"",MAX($F$35:$F$42)+0.0001;""color1"",""#EA580C""}),"""")"),"")</f>
        <v/>
      </c>
      <c r="M37" s="30"/>
      <c r="N37" s="30"/>
      <c r="O37" s="30"/>
      <c r="P37" s="30"/>
      <c r="Q37" s="30"/>
      <c r="R37" s="25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34" t="b">
        <v>0</v>
      </c>
      <c r="BA37" s="35"/>
      <c r="BB37" s="35"/>
      <c r="BC37" s="17"/>
      <c r="BD37" s="78" t="s">
        <v>105</v>
      </c>
      <c r="BE37" s="87"/>
      <c r="BF37" s="87"/>
      <c r="BG37" s="87"/>
      <c r="BH37" s="87"/>
      <c r="BI37" s="87"/>
      <c r="BJ37" s="87"/>
      <c r="BK37" s="87"/>
      <c r="BL37" s="88" t="str">
        <f t="shared" si="4"/>
        <v>—</v>
      </c>
      <c r="BM37" s="17"/>
      <c r="BN37" s="17"/>
      <c r="BO37" s="17"/>
      <c r="BP37" s="17"/>
      <c r="BQ37" s="17"/>
      <c r="BR37" s="17"/>
    </row>
    <row r="38" ht="18.0" customHeight="1">
      <c r="A38" s="17"/>
      <c r="B38" s="62" t="s">
        <v>106</v>
      </c>
      <c r="C38" s="30"/>
      <c r="D38" s="30"/>
      <c r="E38" s="25"/>
      <c r="F38" s="63">
        <f>F25+F26</f>
        <v>0</v>
      </c>
      <c r="G38" s="30"/>
      <c r="H38" s="25"/>
      <c r="I38" s="64">
        <f>$F$38/168</f>
        <v>0</v>
      </c>
      <c r="J38" s="30"/>
      <c r="K38" s="25"/>
      <c r="L38" s="65" t="str">
        <f>IFERROR(__xludf.DUMMYFUNCTION("IFERROR(SPARKLINE($F$38,{""charttype"",""bar"";""max"",MAX($F$35:$F$42)+0.0001;""color1"",""#8e029b""}),"""")"),"")</f>
        <v/>
      </c>
      <c r="M38" s="30"/>
      <c r="N38" s="30"/>
      <c r="O38" s="30"/>
      <c r="P38" s="30"/>
      <c r="Q38" s="30"/>
      <c r="R38" s="25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34" t="b">
        <v>0</v>
      </c>
      <c r="BA38" s="35"/>
      <c r="BB38" s="35"/>
      <c r="BC38" s="17"/>
      <c r="BD38" s="78" t="s">
        <v>107</v>
      </c>
      <c r="BE38" s="89"/>
      <c r="BF38" s="89"/>
      <c r="BG38" s="89"/>
      <c r="BH38" s="89"/>
      <c r="BI38" s="89"/>
      <c r="BJ38" s="89"/>
      <c r="BK38" s="89"/>
      <c r="BL38" s="90" t="str">
        <f t="shared" si="4"/>
        <v>—</v>
      </c>
      <c r="BM38" s="17"/>
      <c r="BN38" s="17"/>
      <c r="BO38" s="17"/>
      <c r="BP38" s="17"/>
      <c r="BQ38" s="17"/>
      <c r="BR38" s="17"/>
    </row>
    <row r="39" ht="18.0" customHeight="1">
      <c r="A39" s="17"/>
      <c r="B39" s="62" t="s">
        <v>108</v>
      </c>
      <c r="C39" s="30"/>
      <c r="D39" s="30"/>
      <c r="E39" s="25"/>
      <c r="F39" s="63">
        <f>F24</f>
        <v>0</v>
      </c>
      <c r="G39" s="30"/>
      <c r="H39" s="25"/>
      <c r="I39" s="64">
        <f>$F$39/168</f>
        <v>0</v>
      </c>
      <c r="J39" s="30"/>
      <c r="K39" s="25"/>
      <c r="L39" s="65" t="str">
        <f>IFERROR(__xludf.DUMMYFUNCTION("IFERROR(SPARKLINE($F$39,{""charttype"",""bar"";""max"",MAX($F$35:$F$42)+0.0001;""color1"",""#89fd05""}),"""")"),"")</f>
        <v/>
      </c>
      <c r="M39" s="30"/>
      <c r="N39" s="30"/>
      <c r="O39" s="30"/>
      <c r="P39" s="30"/>
      <c r="Q39" s="30"/>
      <c r="R39" s="25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</row>
    <row r="40" ht="18.0" customHeight="1">
      <c r="A40" s="17"/>
      <c r="B40" s="62" t="s">
        <v>57</v>
      </c>
      <c r="C40" s="30"/>
      <c r="D40" s="30"/>
      <c r="E40" s="25"/>
      <c r="F40" s="63">
        <f>F27</f>
        <v>0</v>
      </c>
      <c r="G40" s="30"/>
      <c r="H40" s="25"/>
      <c r="I40" s="64">
        <f>$F$40/168</f>
        <v>0</v>
      </c>
      <c r="J40" s="30"/>
      <c r="K40" s="25"/>
      <c r="L40" s="65" t="str">
        <f>IFERROR(__xludf.DUMMYFUNCTION("IFERROR(SPARKLINE($F$40,{""charttype"",""bar"";""max"",MAX($F$35:$F$42)+0.0001;""color1"",""#eeeeee""}),"""")"),"")</f>
        <v/>
      </c>
      <c r="M40" s="30"/>
      <c r="N40" s="30"/>
      <c r="O40" s="30"/>
      <c r="P40" s="30"/>
      <c r="Q40" s="30"/>
      <c r="R40" s="25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91" t="s">
        <v>109</v>
      </c>
      <c r="BE40" s="30"/>
      <c r="BF40" s="30"/>
      <c r="BG40" s="30"/>
      <c r="BH40" s="30"/>
      <c r="BI40" s="30"/>
      <c r="BJ40" s="30"/>
      <c r="BK40" s="30"/>
      <c r="BL40" s="25"/>
      <c r="BM40" s="17"/>
      <c r="BN40" s="17"/>
      <c r="BO40" s="17"/>
      <c r="BP40" s="17"/>
      <c r="BQ40" s="17"/>
      <c r="BR40" s="17"/>
    </row>
    <row r="41" ht="18.0" customHeight="1">
      <c r="A41" s="17"/>
      <c r="B41" s="62" t="s">
        <v>59</v>
      </c>
      <c r="C41" s="30"/>
      <c r="D41" s="30"/>
      <c r="E41" s="25"/>
      <c r="F41" s="63">
        <f>F29</f>
        <v>0</v>
      </c>
      <c r="G41" s="30"/>
      <c r="H41" s="25"/>
      <c r="I41" s="64">
        <f>$F$41/168</f>
        <v>0</v>
      </c>
      <c r="J41" s="30"/>
      <c r="K41" s="25"/>
      <c r="L41" s="65" t="str">
        <f>IFERROR(__xludf.DUMMYFUNCTION("IFERROR(SPARKLINE($F$41,{""charttype"",""bar"";""max"",MAX($F$35:$F$42)+0.0001;""color1"",""#4e4d44""}),"""")"),"")</f>
        <v/>
      </c>
      <c r="M41" s="30"/>
      <c r="N41" s="30"/>
      <c r="O41" s="30"/>
      <c r="P41" s="30"/>
      <c r="Q41" s="30"/>
      <c r="R41" s="25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78" t="s">
        <v>110</v>
      </c>
      <c r="BE41" s="92" t="b">
        <v>0</v>
      </c>
      <c r="BF41" s="92" t="b">
        <v>0</v>
      </c>
      <c r="BG41" s="92" t="b">
        <v>0</v>
      </c>
      <c r="BH41" s="92" t="b">
        <v>0</v>
      </c>
      <c r="BI41" s="92" t="b">
        <v>0</v>
      </c>
      <c r="BJ41" s="92" t="b">
        <v>0</v>
      </c>
      <c r="BK41" s="92" t="b">
        <v>0</v>
      </c>
      <c r="BL41" s="93" t="str">
        <f t="shared" ref="BL41:BL43" si="5">COUNTIF(BE41:BK41,TRUE)&amp;" / 7"</f>
        <v>0 / 7</v>
      </c>
      <c r="BM41" s="17"/>
      <c r="BN41" s="17"/>
      <c r="BO41" s="17"/>
      <c r="BP41" s="17"/>
      <c r="BQ41" s="17"/>
      <c r="BR41" s="17"/>
    </row>
    <row r="42" ht="18.0" customHeight="1">
      <c r="A42" s="17"/>
      <c r="B42" s="62" t="s">
        <v>58</v>
      </c>
      <c r="C42" s="30"/>
      <c r="D42" s="30"/>
      <c r="E42" s="25"/>
      <c r="F42" s="63">
        <f>F28</f>
        <v>0</v>
      </c>
      <c r="G42" s="30"/>
      <c r="H42" s="25"/>
      <c r="I42" s="64">
        <f>$F$42/168</f>
        <v>0</v>
      </c>
      <c r="J42" s="30"/>
      <c r="K42" s="25"/>
      <c r="L42" s="65" t="str">
        <f>IFERROR(__xludf.DUMMYFUNCTION("IFERROR(SPARKLINE($F$42,{""charttype"",""bar"";""max"",MAX($F$35:$F$42)+0.0001;""color1"",""#ff1500""}),"""")"),"")</f>
        <v/>
      </c>
      <c r="M42" s="30"/>
      <c r="N42" s="30"/>
      <c r="O42" s="30"/>
      <c r="P42" s="30"/>
      <c r="Q42" s="30"/>
      <c r="R42" s="25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78" t="s">
        <v>111</v>
      </c>
      <c r="BE42" s="92" t="b">
        <v>0</v>
      </c>
      <c r="BF42" s="92" t="b">
        <v>0</v>
      </c>
      <c r="BG42" s="92" t="b">
        <v>0</v>
      </c>
      <c r="BH42" s="92" t="b">
        <v>0</v>
      </c>
      <c r="BI42" s="92" t="b">
        <v>0</v>
      </c>
      <c r="BJ42" s="92" t="b">
        <v>0</v>
      </c>
      <c r="BK42" s="92" t="b">
        <v>0</v>
      </c>
      <c r="BL42" s="93" t="str">
        <f t="shared" si="5"/>
        <v>0 / 7</v>
      </c>
      <c r="BM42" s="17"/>
      <c r="BN42" s="17"/>
      <c r="BO42" s="17"/>
      <c r="BP42" s="17"/>
      <c r="BQ42" s="17"/>
      <c r="B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78" t="s">
        <v>112</v>
      </c>
      <c r="BE43" s="92" t="b">
        <v>0</v>
      </c>
      <c r="BF43" s="92" t="b">
        <v>0</v>
      </c>
      <c r="BG43" s="92" t="b">
        <v>0</v>
      </c>
      <c r="BH43" s="92" t="b">
        <v>0</v>
      </c>
      <c r="BI43" s="92" t="b">
        <v>0</v>
      </c>
      <c r="BJ43" s="92" t="b">
        <v>0</v>
      </c>
      <c r="BK43" s="92" t="b">
        <v>0</v>
      </c>
      <c r="BL43" s="93" t="str">
        <f t="shared" si="5"/>
        <v>0 / 7</v>
      </c>
      <c r="BM43" s="17"/>
      <c r="BN43" s="17"/>
      <c r="BO43" s="17"/>
      <c r="BP43" s="17"/>
      <c r="BQ43" s="17"/>
      <c r="BR43" s="17"/>
    </row>
    <row r="44" ht="22.5" customHeight="1">
      <c r="A44" s="17"/>
      <c r="B44" s="58" t="s">
        <v>113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94" t="s">
        <v>114</v>
      </c>
      <c r="BL45" s="17"/>
      <c r="BM45" s="17"/>
      <c r="BN45" s="17"/>
      <c r="BO45" s="17"/>
      <c r="BP45" s="17"/>
      <c r="BQ45" s="17"/>
      <c r="BR45" s="17"/>
    </row>
    <row r="46">
      <c r="A46" s="17"/>
      <c r="B46" s="95" t="s">
        <v>115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31" t="s">
        <v>46</v>
      </c>
      <c r="BE46" s="31" t="s">
        <v>94</v>
      </c>
      <c r="BF46" s="31" t="s">
        <v>96</v>
      </c>
      <c r="BG46" s="31" t="s">
        <v>99</v>
      </c>
      <c r="BH46" s="31" t="s">
        <v>101</v>
      </c>
      <c r="BI46" s="31" t="s">
        <v>103</v>
      </c>
      <c r="BJ46" s="31" t="s">
        <v>105</v>
      </c>
      <c r="BK46" s="31" t="s">
        <v>107</v>
      </c>
      <c r="BL46" s="17"/>
      <c r="BM46" s="17"/>
      <c r="BN46" s="17"/>
      <c r="BO46" s="17"/>
      <c r="BP46" s="17"/>
      <c r="BQ46" s="17"/>
      <c r="BR46" s="17"/>
    </row>
    <row r="47">
      <c r="A47" s="17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36" t="s">
        <v>62</v>
      </c>
      <c r="BE47" s="37" t="str">
        <f>IF(BE32="","",BE32)</f>
        <v/>
      </c>
      <c r="BF47" s="37" t="str">
        <f>IF(BE33="","",BE33)</f>
        <v/>
      </c>
      <c r="BG47" s="37" t="str">
        <f>IF(BE34="","",BE34)</f>
        <v/>
      </c>
      <c r="BH47" s="37" t="str">
        <f>IF(BE35="","",BE35)</f>
        <v/>
      </c>
      <c r="BI47" s="37" t="str">
        <f>IF(BE36="","",BE36)</f>
        <v/>
      </c>
      <c r="BJ47" s="37" t="str">
        <f>IF(BE37="","",BE37)</f>
        <v/>
      </c>
      <c r="BK47" s="37" t="str">
        <f>IF(BE38="","",BE38)</f>
        <v/>
      </c>
      <c r="BL47" s="17"/>
      <c r="BM47" s="17"/>
      <c r="BN47" s="17"/>
      <c r="BO47" s="17"/>
      <c r="BP47" s="17"/>
      <c r="BQ47" s="17"/>
      <c r="BR47" s="17"/>
    </row>
    <row r="48">
      <c r="A48" s="17"/>
      <c r="B48" s="99"/>
      <c r="R48" s="100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36" t="s">
        <v>65</v>
      </c>
      <c r="BE48" s="37" t="str">
        <f>IF(BF32="","",BF32)</f>
        <v/>
      </c>
      <c r="BF48" s="37" t="str">
        <f>IF(BF33="","",BF33)</f>
        <v/>
      </c>
      <c r="BG48" s="37" t="str">
        <f>IF(BF34="","",BF34)</f>
        <v/>
      </c>
      <c r="BH48" s="37" t="str">
        <f>IF(BF35="","",BF35)</f>
        <v/>
      </c>
      <c r="BI48" s="37" t="str">
        <f>IF(BF36="","",BF36)</f>
        <v/>
      </c>
      <c r="BJ48" s="37" t="str">
        <f>IF(BF37="","",BF37)</f>
        <v/>
      </c>
      <c r="BK48" s="37" t="str">
        <f>IF(BF38="","",BF38)</f>
        <v/>
      </c>
      <c r="BL48" s="17"/>
      <c r="BM48" s="17"/>
      <c r="BN48" s="17"/>
      <c r="BO48" s="17"/>
      <c r="BP48" s="17"/>
      <c r="BQ48" s="17"/>
      <c r="BR48" s="17"/>
    </row>
    <row r="49">
      <c r="A49" s="17"/>
      <c r="B49" s="101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3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36" t="s">
        <v>66</v>
      </c>
      <c r="BE49" s="37" t="str">
        <f>IF(BG32="","",BG32)</f>
        <v/>
      </c>
      <c r="BF49" s="37" t="str">
        <f>IF(BG33="","",BG33)</f>
        <v/>
      </c>
      <c r="BG49" s="37" t="str">
        <f>IF(BG34="","",BG34)</f>
        <v/>
      </c>
      <c r="BH49" s="37" t="str">
        <f>IF(BG35="","",BG35)</f>
        <v/>
      </c>
      <c r="BI49" s="37" t="str">
        <f>IF(BG36="","",BG36)</f>
        <v/>
      </c>
      <c r="BJ49" s="37" t="str">
        <f>IF(BG37="","",BG37)</f>
        <v/>
      </c>
      <c r="BK49" s="37" t="str">
        <f>IF(BG38="","",BG38)</f>
        <v/>
      </c>
      <c r="BL49" s="17"/>
      <c r="BM49" s="17"/>
      <c r="BN49" s="17"/>
      <c r="BO49" s="17"/>
      <c r="BP49" s="17"/>
      <c r="BQ49" s="17"/>
      <c r="B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36" t="s">
        <v>67</v>
      </c>
      <c r="BE50" s="37" t="str">
        <f>IF(BH32="","",BH32)</f>
        <v/>
      </c>
      <c r="BF50" s="37" t="str">
        <f>IF(BH33="","",BH33)</f>
        <v/>
      </c>
      <c r="BG50" s="37" t="str">
        <f>IF(BH34="","",BH34)</f>
        <v/>
      </c>
      <c r="BH50" s="37" t="str">
        <f>IF(BH35="","",BH35)</f>
        <v/>
      </c>
      <c r="BI50" s="37" t="str">
        <f>IF(BH36="","",BH36)</f>
        <v/>
      </c>
      <c r="BJ50" s="37" t="str">
        <f>IF(BH37="","",BH37)</f>
        <v/>
      </c>
      <c r="BK50" s="37" t="str">
        <f>IF(BH38="","",BH38)</f>
        <v/>
      </c>
      <c r="BL50" s="17"/>
      <c r="BM50" s="17"/>
      <c r="BN50" s="17"/>
      <c r="BO50" s="17"/>
      <c r="BP50" s="17"/>
      <c r="BQ50" s="17"/>
      <c r="BR50" s="17"/>
    </row>
    <row r="51">
      <c r="A51" s="17"/>
      <c r="B51" s="95" t="s">
        <v>116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41" t="s">
        <v>69</v>
      </c>
      <c r="BE51" s="37" t="str">
        <f>IF(BI32="","",BI32)</f>
        <v/>
      </c>
      <c r="BF51" s="37" t="str">
        <f>IF(BI33="","",BI33)</f>
        <v/>
      </c>
      <c r="BG51" s="37" t="str">
        <f>IF(BI34="","",BI34)</f>
        <v/>
      </c>
      <c r="BH51" s="37" t="str">
        <f>IF(BI35="","",BI35)</f>
        <v/>
      </c>
      <c r="BI51" s="37" t="str">
        <f>IF(BI36="","",BI36)</f>
        <v/>
      </c>
      <c r="BJ51" s="37" t="str">
        <f>IF(BI37="","",BI37)</f>
        <v/>
      </c>
      <c r="BK51" s="37" t="str">
        <f>IF(BI38="","",BI38)</f>
        <v/>
      </c>
      <c r="BL51" s="17"/>
      <c r="BM51" s="17"/>
      <c r="BN51" s="17"/>
      <c r="BO51" s="17"/>
      <c r="BP51" s="17"/>
      <c r="BQ51" s="17"/>
      <c r="BR51" s="17"/>
    </row>
    <row r="52">
      <c r="A52" s="17"/>
      <c r="B52" s="9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36" t="s">
        <v>70</v>
      </c>
      <c r="BE52" s="37" t="str">
        <f>IF(BJ32="","",BJ32)</f>
        <v/>
      </c>
      <c r="BF52" s="37" t="str">
        <f>IF(BJ33="","",BJ33)</f>
        <v/>
      </c>
      <c r="BG52" s="37" t="str">
        <f>IF(BJ34="","",BJ34)</f>
        <v/>
      </c>
      <c r="BH52" s="37" t="str">
        <f>IF(BJ35="","",BJ35)</f>
        <v/>
      </c>
      <c r="BI52" s="37" t="str">
        <f>IF(BJ36="","",BJ36)</f>
        <v/>
      </c>
      <c r="BJ52" s="37" t="str">
        <f>IF(BJ37="","",BJ37)</f>
        <v/>
      </c>
      <c r="BK52" s="37" t="str">
        <f>IF(BJ38="","",BJ38)</f>
        <v/>
      </c>
      <c r="BL52" s="17"/>
      <c r="BM52" s="17"/>
      <c r="BN52" s="17"/>
      <c r="BO52" s="17"/>
      <c r="BP52" s="17"/>
      <c r="BQ52" s="17"/>
      <c r="BR52" s="17"/>
    </row>
    <row r="53">
      <c r="A53" s="17"/>
      <c r="B53" s="99"/>
      <c r="R53" s="100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36" t="s">
        <v>71</v>
      </c>
      <c r="BE53" s="37" t="str">
        <f>IF(BK32="","",BK32)</f>
        <v/>
      </c>
      <c r="BF53" s="37" t="str">
        <f>IF(BK33="","",BK33)</f>
        <v/>
      </c>
      <c r="BG53" s="37" t="str">
        <f>IF(BK34="","",BK34)</f>
        <v/>
      </c>
      <c r="BH53" s="37" t="str">
        <f>IF(BK35="","",BK35)</f>
        <v/>
      </c>
      <c r="BI53" s="37" t="str">
        <f>IF(BK36="","",BK36)</f>
        <v/>
      </c>
      <c r="BJ53" s="37" t="str">
        <f>IF(BK37="","",BK37)</f>
        <v/>
      </c>
      <c r="BK53" s="37" t="str">
        <f>IF(BK38="","",BK38)</f>
        <v/>
      </c>
      <c r="BL53" s="17"/>
      <c r="BM53" s="17"/>
      <c r="BN53" s="17"/>
      <c r="BO53" s="17"/>
      <c r="BP53" s="17"/>
      <c r="BQ53" s="17"/>
      <c r="BR53" s="17"/>
    </row>
    <row r="54">
      <c r="A54" s="17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3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</row>
    <row r="56">
      <c r="A56" s="17"/>
      <c r="B56" s="95" t="s">
        <v>117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</row>
    <row r="57">
      <c r="A57" s="17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</row>
    <row r="58">
      <c r="A58" s="17"/>
      <c r="B58" s="99"/>
      <c r="R58" s="100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</row>
    <row r="59">
      <c r="A59" s="17"/>
      <c r="B59" s="10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3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</row>
    <row r="61">
      <c r="A61" s="17"/>
      <c r="B61" s="95" t="s">
        <v>118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</row>
    <row r="62">
      <c r="A62" s="17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>
      <c r="A63" s="17"/>
      <c r="B63" s="99"/>
      <c r="R63" s="100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</row>
    <row r="64">
      <c r="A64" s="17"/>
      <c r="B64" s="101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3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</row>
    <row r="66">
      <c r="A66" s="17"/>
      <c r="B66" s="95" t="s">
        <v>119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</row>
    <row r="67">
      <c r="A67" s="17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</row>
    <row r="68">
      <c r="A68" s="17"/>
      <c r="B68" s="99"/>
      <c r="R68" s="100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</row>
    <row r="69">
      <c r="A69" s="17"/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3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</row>
    <row r="170" ht="22.5" customHeight="1">
      <c r="A170" s="17"/>
      <c r="B170" s="58" t="s">
        <v>120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</row>
    <row r="171">
      <c r="A171" s="17"/>
      <c r="B171" s="61" t="s">
        <v>121</v>
      </c>
      <c r="C171" s="30"/>
      <c r="D171" s="30"/>
      <c r="E171" s="25"/>
      <c r="F171" s="61" t="s">
        <v>122</v>
      </c>
      <c r="G171" s="25"/>
      <c r="H171" s="61" t="s">
        <v>123</v>
      </c>
      <c r="I171" s="25"/>
      <c r="J171" s="61" t="s">
        <v>124</v>
      </c>
      <c r="K171" s="25"/>
      <c r="L171" s="61" t="s">
        <v>125</v>
      </c>
      <c r="M171" s="30"/>
      <c r="N171" s="30"/>
      <c r="O171" s="30"/>
      <c r="P171" s="30"/>
      <c r="Q171" s="30"/>
      <c r="R171" s="25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</row>
    <row r="172" ht="18.0" customHeight="1">
      <c r="A172" s="17"/>
      <c r="B172" s="104" t="s">
        <v>126</v>
      </c>
      <c r="C172" s="30"/>
      <c r="D172" s="30"/>
      <c r="E172" s="25"/>
      <c r="F172" s="105">
        <v>0.3333333333333333</v>
      </c>
      <c r="G172" s="25"/>
      <c r="H172" s="105">
        <v>0.3958333333333333</v>
      </c>
      <c r="I172" s="25"/>
      <c r="J172" s="106" t="str">
        <f>IF(AND($F$172&lt;&gt;"",$H$172&lt;&gt;""),TEXT(MOD($H$172-$F$172,1),"[h]:mm"),"")</f>
        <v>1:30</v>
      </c>
      <c r="K172" s="25"/>
      <c r="L172" s="65"/>
      <c r="M172" s="30"/>
      <c r="N172" s="30"/>
      <c r="O172" s="30"/>
      <c r="P172" s="30"/>
      <c r="Q172" s="30"/>
      <c r="R172" s="25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</row>
    <row r="173" ht="18.0" customHeight="1">
      <c r="A173" s="17"/>
      <c r="B173" s="104" t="s">
        <v>127</v>
      </c>
      <c r="C173" s="30"/>
      <c r="D173" s="30"/>
      <c r="E173" s="25"/>
      <c r="F173" s="105">
        <v>0.4166666666666667</v>
      </c>
      <c r="G173" s="25"/>
      <c r="H173" s="105">
        <v>0.5416666666666666</v>
      </c>
      <c r="I173" s="25"/>
      <c r="J173" s="106" t="str">
        <f>IF(AND($F$173&lt;&gt;"",$H$173&lt;&gt;""),TEXT(MOD($H$173-$F$173,1),"[h]:mm"),"")</f>
        <v>3:00</v>
      </c>
      <c r="K173" s="25"/>
      <c r="L173" s="65"/>
      <c r="M173" s="30"/>
      <c r="N173" s="30"/>
      <c r="O173" s="30"/>
      <c r="P173" s="30"/>
      <c r="Q173" s="30"/>
      <c r="R173" s="25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</row>
    <row r="174" ht="18.0" customHeight="1">
      <c r="A174" s="17"/>
      <c r="B174" s="104" t="s">
        <v>128</v>
      </c>
      <c r="C174" s="30"/>
      <c r="D174" s="30"/>
      <c r="E174" s="25"/>
      <c r="F174" s="105">
        <v>0.75</v>
      </c>
      <c r="G174" s="25"/>
      <c r="H174" s="105">
        <v>0.7916666666666666</v>
      </c>
      <c r="I174" s="25"/>
      <c r="J174" s="106" t="str">
        <f>IF(AND($F$174&lt;&gt;"",$H$174&lt;&gt;""),TEXT(MOD($H$174-$F$174,1),"[h]:mm"),"")</f>
        <v>1:00</v>
      </c>
      <c r="K174" s="25"/>
      <c r="L174" s="65"/>
      <c r="M174" s="30"/>
      <c r="N174" s="30"/>
      <c r="O174" s="30"/>
      <c r="P174" s="30"/>
      <c r="Q174" s="30"/>
      <c r="R174" s="25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</row>
    <row r="175" ht="18.0" customHeight="1">
      <c r="A175" s="17"/>
      <c r="B175" s="104" t="s">
        <v>24</v>
      </c>
      <c r="C175" s="30"/>
      <c r="D175" s="30"/>
      <c r="E175" s="25"/>
      <c r="F175" s="105">
        <v>0.9166666666666666</v>
      </c>
      <c r="G175" s="25"/>
      <c r="H175" s="105">
        <v>0.9305555555555556</v>
      </c>
      <c r="I175" s="25"/>
      <c r="J175" s="106" t="str">
        <f>IF(AND($F$175&lt;&gt;"",$H$175&lt;&gt;""),TEXT(MOD($H$175-$F$175,1),"[h]:mm"),"")</f>
        <v>0:20</v>
      </c>
      <c r="K175" s="25"/>
      <c r="L175" s="65"/>
      <c r="M175" s="30"/>
      <c r="N175" s="30"/>
      <c r="O175" s="30"/>
      <c r="P175" s="30"/>
      <c r="Q175" s="30"/>
      <c r="R175" s="25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</row>
    <row r="176" ht="18.0" customHeight="1">
      <c r="A176" s="17"/>
      <c r="B176" s="65"/>
      <c r="C176" s="30"/>
      <c r="D176" s="30"/>
      <c r="E176" s="25"/>
      <c r="F176" s="107"/>
      <c r="G176" s="25"/>
      <c r="H176" s="107"/>
      <c r="I176" s="25"/>
      <c r="J176" s="106" t="str">
        <f>IF(AND($F$176&lt;&gt;"",$H$176&lt;&gt;""),TEXT(MOD($H$176-$F$176,1),"[h]:mm"),"")</f>
        <v/>
      </c>
      <c r="K176" s="25"/>
      <c r="L176" s="65"/>
      <c r="M176" s="30"/>
      <c r="N176" s="30"/>
      <c r="O176" s="30"/>
      <c r="P176" s="30"/>
      <c r="Q176" s="30"/>
      <c r="R176" s="25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</row>
    <row r="177" ht="18.0" customHeight="1">
      <c r="A177" s="17"/>
      <c r="B177" s="65"/>
      <c r="C177" s="30"/>
      <c r="D177" s="30"/>
      <c r="E177" s="25"/>
      <c r="F177" s="107"/>
      <c r="G177" s="25"/>
      <c r="H177" s="107"/>
      <c r="I177" s="25"/>
      <c r="J177" s="106" t="str">
        <f>IF(AND($F$177&lt;&gt;"",$H$177&lt;&gt;""),TEXT(MOD($H$177-$F$177,1),"[h]:mm"),"")</f>
        <v/>
      </c>
      <c r="K177" s="25"/>
      <c r="L177" s="65"/>
      <c r="M177" s="30"/>
      <c r="N177" s="30"/>
      <c r="O177" s="30"/>
      <c r="P177" s="30"/>
      <c r="Q177" s="30"/>
      <c r="R177" s="25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</row>
    <row r="178" ht="18.0" customHeight="1">
      <c r="A178" s="17"/>
      <c r="B178" s="65"/>
      <c r="C178" s="30"/>
      <c r="D178" s="30"/>
      <c r="E178" s="25"/>
      <c r="F178" s="107"/>
      <c r="G178" s="25"/>
      <c r="H178" s="107"/>
      <c r="I178" s="25"/>
      <c r="J178" s="106" t="str">
        <f>IF(AND($F$178&lt;&gt;"",$H$178&lt;&gt;""),TEXT(MOD($H$178-$F$178,1),"[h]:mm"),"")</f>
        <v/>
      </c>
      <c r="K178" s="25"/>
      <c r="L178" s="65"/>
      <c r="M178" s="30"/>
      <c r="N178" s="30"/>
      <c r="O178" s="30"/>
      <c r="P178" s="30"/>
      <c r="Q178" s="30"/>
      <c r="R178" s="25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</row>
    <row r="179" ht="18.0" customHeight="1">
      <c r="A179" s="17"/>
      <c r="B179" s="65"/>
      <c r="C179" s="30"/>
      <c r="D179" s="30"/>
      <c r="E179" s="25"/>
      <c r="F179" s="107"/>
      <c r="G179" s="25"/>
      <c r="H179" s="107"/>
      <c r="I179" s="25"/>
      <c r="J179" s="106" t="str">
        <f>IF(AND($F$179&lt;&gt;"",$H$179&lt;&gt;""),TEXT(MOD($H$179-$F$179,1),"[h]:mm"),"")</f>
        <v/>
      </c>
      <c r="K179" s="25"/>
      <c r="L179" s="65"/>
      <c r="M179" s="30"/>
      <c r="N179" s="30"/>
      <c r="O179" s="30"/>
      <c r="P179" s="30"/>
      <c r="Q179" s="30"/>
      <c r="R179" s="25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</row>
    <row r="180" ht="18.0" customHeight="1">
      <c r="A180" s="17"/>
      <c r="B180" s="65"/>
      <c r="C180" s="30"/>
      <c r="D180" s="30"/>
      <c r="E180" s="25"/>
      <c r="F180" s="107"/>
      <c r="G180" s="25"/>
      <c r="H180" s="107"/>
      <c r="I180" s="25"/>
      <c r="J180" s="106" t="str">
        <f>IF(AND($F$180&lt;&gt;"",$H$180&lt;&gt;""),TEXT(MOD($H$180-$F$180,1),"[h]:mm"),"")</f>
        <v/>
      </c>
      <c r="K180" s="25"/>
      <c r="L180" s="65"/>
      <c r="M180" s="30"/>
      <c r="N180" s="30"/>
      <c r="O180" s="30"/>
      <c r="P180" s="30"/>
      <c r="Q180" s="30"/>
      <c r="R180" s="25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</row>
    <row r="181" ht="18.0" customHeight="1">
      <c r="A181" s="17"/>
      <c r="B181" s="65"/>
      <c r="C181" s="30"/>
      <c r="D181" s="30"/>
      <c r="E181" s="25"/>
      <c r="F181" s="107"/>
      <c r="G181" s="25"/>
      <c r="H181" s="107"/>
      <c r="I181" s="25"/>
      <c r="J181" s="106" t="str">
        <f>IF(AND($F$181&lt;&gt;"",$H$181&lt;&gt;""),TEXT(MOD($H$181-$F$181,1),"[h]:mm"),"")</f>
        <v/>
      </c>
      <c r="K181" s="25"/>
      <c r="L181" s="65"/>
      <c r="M181" s="30"/>
      <c r="N181" s="30"/>
      <c r="O181" s="30"/>
      <c r="P181" s="30"/>
      <c r="Q181" s="30"/>
      <c r="R181" s="25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</row>
    <row r="182" ht="18.0" customHeight="1">
      <c r="A182" s="17"/>
      <c r="B182" s="65"/>
      <c r="C182" s="30"/>
      <c r="D182" s="30"/>
      <c r="E182" s="25"/>
      <c r="F182" s="107"/>
      <c r="G182" s="25"/>
      <c r="H182" s="107"/>
      <c r="I182" s="25"/>
      <c r="J182" s="106" t="str">
        <f>IF(AND($F$182&lt;&gt;"",$H$182&lt;&gt;""),TEXT(MOD($H$182-$F$182,1),"[h]:mm"),"")</f>
        <v/>
      </c>
      <c r="K182" s="25"/>
      <c r="L182" s="65"/>
      <c r="M182" s="30"/>
      <c r="N182" s="30"/>
      <c r="O182" s="30"/>
      <c r="P182" s="30"/>
      <c r="Q182" s="30"/>
      <c r="R182" s="25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</row>
    <row r="183" ht="18.0" customHeight="1">
      <c r="A183" s="17"/>
      <c r="B183" s="65"/>
      <c r="C183" s="30"/>
      <c r="D183" s="30"/>
      <c r="E183" s="25"/>
      <c r="F183" s="107"/>
      <c r="G183" s="25"/>
      <c r="H183" s="107"/>
      <c r="I183" s="25"/>
      <c r="J183" s="106" t="str">
        <f>IF(AND($F$183&lt;&gt;"",$H$183&lt;&gt;""),TEXT(MOD($H$183-$F$183,1),"[h]:mm"),"")</f>
        <v/>
      </c>
      <c r="K183" s="25"/>
      <c r="L183" s="65"/>
      <c r="M183" s="30"/>
      <c r="N183" s="30"/>
      <c r="O183" s="30"/>
      <c r="P183" s="30"/>
      <c r="Q183" s="30"/>
      <c r="R183" s="25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</row>
    <row r="186" ht="22.5" customHeight="1">
      <c r="A186" s="17"/>
      <c r="B186" s="58" t="s">
        <v>129</v>
      </c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</row>
    <row r="188" ht="19.5" customHeight="1">
      <c r="A188" s="17"/>
      <c r="B188" s="108" t="str">
        <f>"Monday"&amp;"   ·   "&amp;TEXT(MONTH_START+14,"d mmm")</f>
        <v>Monday   ·   31 Aug</v>
      </c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</row>
    <row r="189">
      <c r="A189" s="17"/>
      <c r="B189" s="94" t="s">
        <v>130</v>
      </c>
      <c r="M189" s="17"/>
      <c r="N189" s="94" t="s">
        <v>131</v>
      </c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</row>
    <row r="190">
      <c r="A190" s="17"/>
      <c r="B190" s="96"/>
      <c r="C190" s="97"/>
      <c r="D190" s="97"/>
      <c r="E190" s="97"/>
      <c r="F190" s="97"/>
      <c r="G190" s="97"/>
      <c r="H190" s="97"/>
      <c r="I190" s="97"/>
      <c r="J190" s="97"/>
      <c r="K190" s="97"/>
      <c r="L190" s="98"/>
      <c r="M190" s="17"/>
      <c r="N190" s="96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8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</row>
    <row r="191">
      <c r="A191" s="17"/>
      <c r="B191" s="99"/>
      <c r="L191" s="100"/>
      <c r="M191" s="17"/>
      <c r="N191" s="99"/>
      <c r="AA191" s="10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</row>
    <row r="192">
      <c r="A192" s="17"/>
      <c r="B192" s="99"/>
      <c r="L192" s="100"/>
      <c r="M192" s="17"/>
      <c r="N192" s="99"/>
      <c r="AA192" s="10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</row>
    <row r="193">
      <c r="A193" s="17"/>
      <c r="B193" s="99"/>
      <c r="L193" s="100"/>
      <c r="M193" s="17"/>
      <c r="N193" s="99"/>
      <c r="AA193" s="10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</row>
    <row r="194">
      <c r="A194" s="17"/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3"/>
      <c r="M194" s="17"/>
      <c r="N194" s="101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3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</row>
    <row r="196" ht="19.5" customHeight="1">
      <c r="A196" s="17"/>
      <c r="B196" s="108" t="str">
        <f>"Tuesday"&amp;"   ·   "&amp;TEXT(MONTH_START+15,"d mmm")</f>
        <v>Tuesday   ·   1 Sep</v>
      </c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</row>
    <row r="197">
      <c r="A197" s="17"/>
      <c r="B197" s="94" t="s">
        <v>130</v>
      </c>
      <c r="M197" s="17"/>
      <c r="N197" s="94" t="s">
        <v>131</v>
      </c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</row>
    <row r="198">
      <c r="A198" s="17"/>
      <c r="B198" s="96"/>
      <c r="C198" s="97"/>
      <c r="D198" s="97"/>
      <c r="E198" s="97"/>
      <c r="F198" s="97"/>
      <c r="G198" s="97"/>
      <c r="H198" s="97"/>
      <c r="I198" s="97"/>
      <c r="J198" s="97"/>
      <c r="K198" s="97"/>
      <c r="L198" s="98"/>
      <c r="M198" s="17"/>
      <c r="N198" s="96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8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</row>
    <row r="199">
      <c r="A199" s="17"/>
      <c r="B199" s="99"/>
      <c r="L199" s="100"/>
      <c r="M199" s="17"/>
      <c r="N199" s="99"/>
      <c r="AA199" s="10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</row>
    <row r="200">
      <c r="A200" s="17"/>
      <c r="B200" s="99"/>
      <c r="L200" s="100"/>
      <c r="M200" s="17"/>
      <c r="N200" s="99"/>
      <c r="AA200" s="10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</row>
    <row r="201">
      <c r="A201" s="17"/>
      <c r="B201" s="99"/>
      <c r="L201" s="100"/>
      <c r="M201" s="17"/>
      <c r="N201" s="99"/>
      <c r="AA201" s="10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</row>
    <row r="202">
      <c r="A202" s="17"/>
      <c r="B202" s="101"/>
      <c r="C202" s="102"/>
      <c r="D202" s="102"/>
      <c r="E202" s="102"/>
      <c r="F202" s="102"/>
      <c r="G202" s="102"/>
      <c r="H202" s="102"/>
      <c r="I202" s="102"/>
      <c r="J202" s="102"/>
      <c r="K202" s="102"/>
      <c r="L202" s="103"/>
      <c r="M202" s="17"/>
      <c r="N202" s="101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3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</row>
    <row r="204" ht="19.5" customHeight="1">
      <c r="A204" s="17"/>
      <c r="B204" s="108" t="str">
        <f>"Wednesday"&amp;"   ·   "&amp;TEXT(MONTH_START+16,"d mmm")</f>
        <v>Wednesday   ·   2 Sep</v>
      </c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</row>
    <row r="205">
      <c r="A205" s="17"/>
      <c r="B205" s="94" t="s">
        <v>130</v>
      </c>
      <c r="M205" s="17"/>
      <c r="N205" s="94" t="s">
        <v>131</v>
      </c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</row>
    <row r="206">
      <c r="A206" s="17"/>
      <c r="B206" s="96"/>
      <c r="C206" s="97"/>
      <c r="D206" s="97"/>
      <c r="E206" s="97"/>
      <c r="F206" s="97"/>
      <c r="G206" s="97"/>
      <c r="H206" s="97"/>
      <c r="I206" s="97"/>
      <c r="J206" s="97"/>
      <c r="K206" s="97"/>
      <c r="L206" s="98"/>
      <c r="M206" s="17"/>
      <c r="N206" s="96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8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</row>
    <row r="207">
      <c r="A207" s="17"/>
      <c r="B207" s="99"/>
      <c r="L207" s="100"/>
      <c r="M207" s="17"/>
      <c r="N207" s="99"/>
      <c r="AA207" s="10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</row>
    <row r="208">
      <c r="A208" s="17"/>
      <c r="B208" s="99"/>
      <c r="L208" s="100"/>
      <c r="M208" s="17"/>
      <c r="N208" s="99"/>
      <c r="AA208" s="10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</row>
    <row r="209">
      <c r="A209" s="17"/>
      <c r="B209" s="99"/>
      <c r="L209" s="100"/>
      <c r="M209" s="17"/>
      <c r="N209" s="99"/>
      <c r="AA209" s="10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</row>
    <row r="210">
      <c r="A210" s="17"/>
      <c r="B210" s="101"/>
      <c r="C210" s="102"/>
      <c r="D210" s="102"/>
      <c r="E210" s="102"/>
      <c r="F210" s="102"/>
      <c r="G210" s="102"/>
      <c r="H210" s="102"/>
      <c r="I210" s="102"/>
      <c r="J210" s="102"/>
      <c r="K210" s="102"/>
      <c r="L210" s="103"/>
      <c r="M210" s="17"/>
      <c r="N210" s="101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3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</row>
    <row r="212" ht="19.5" customHeight="1">
      <c r="A212" s="17"/>
      <c r="B212" s="108" t="str">
        <f>"Thursday"&amp;"   ·   "&amp;TEXT(MONTH_START+17,"d mmm")</f>
        <v>Thursday   ·   3 Sep</v>
      </c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</row>
    <row r="213">
      <c r="A213" s="17"/>
      <c r="B213" s="94" t="s">
        <v>130</v>
      </c>
      <c r="M213" s="17"/>
      <c r="N213" s="94" t="s">
        <v>131</v>
      </c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</row>
    <row r="214">
      <c r="A214" s="17"/>
      <c r="B214" s="96"/>
      <c r="C214" s="97"/>
      <c r="D214" s="97"/>
      <c r="E214" s="97"/>
      <c r="F214" s="97"/>
      <c r="G214" s="97"/>
      <c r="H214" s="97"/>
      <c r="I214" s="97"/>
      <c r="J214" s="97"/>
      <c r="K214" s="97"/>
      <c r="L214" s="98"/>
      <c r="M214" s="17"/>
      <c r="N214" s="96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8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</row>
    <row r="215">
      <c r="A215" s="17"/>
      <c r="B215" s="99"/>
      <c r="L215" s="100"/>
      <c r="M215" s="17"/>
      <c r="N215" s="99"/>
      <c r="AA215" s="10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</row>
    <row r="216">
      <c r="A216" s="17"/>
      <c r="B216" s="99"/>
      <c r="L216" s="100"/>
      <c r="M216" s="17"/>
      <c r="N216" s="99"/>
      <c r="AA216" s="10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</row>
    <row r="217">
      <c r="A217" s="17"/>
      <c r="B217" s="99"/>
      <c r="L217" s="100"/>
      <c r="M217" s="17"/>
      <c r="N217" s="99"/>
      <c r="AA217" s="10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</row>
    <row r="218">
      <c r="A218" s="17"/>
      <c r="B218" s="101"/>
      <c r="C218" s="102"/>
      <c r="D218" s="102"/>
      <c r="E218" s="102"/>
      <c r="F218" s="102"/>
      <c r="G218" s="102"/>
      <c r="H218" s="102"/>
      <c r="I218" s="102"/>
      <c r="J218" s="102"/>
      <c r="K218" s="102"/>
      <c r="L218" s="103"/>
      <c r="M218" s="17"/>
      <c r="N218" s="101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3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</row>
    <row r="220" ht="19.5" customHeight="1">
      <c r="A220" s="17"/>
      <c r="B220" s="109" t="str">
        <f>"Friday"&amp;"   ·   "&amp;TEXT(MONTH_START+18,"d mmm")</f>
        <v>Friday   ·   4 Sep</v>
      </c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</row>
    <row r="221">
      <c r="A221" s="17"/>
      <c r="B221" s="94" t="s">
        <v>130</v>
      </c>
      <c r="M221" s="17"/>
      <c r="N221" s="94" t="s">
        <v>131</v>
      </c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</row>
    <row r="222">
      <c r="A222" s="17"/>
      <c r="B222" s="96"/>
      <c r="C222" s="97"/>
      <c r="D222" s="97"/>
      <c r="E222" s="97"/>
      <c r="F222" s="97"/>
      <c r="G222" s="97"/>
      <c r="H222" s="97"/>
      <c r="I222" s="97"/>
      <c r="J222" s="97"/>
      <c r="K222" s="97"/>
      <c r="L222" s="98"/>
      <c r="M222" s="17"/>
      <c r="N222" s="96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8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</row>
    <row r="223">
      <c r="A223" s="17"/>
      <c r="B223" s="99"/>
      <c r="L223" s="100"/>
      <c r="M223" s="17"/>
      <c r="N223" s="99"/>
      <c r="AA223" s="10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</row>
    <row r="224">
      <c r="A224" s="17"/>
      <c r="B224" s="99"/>
      <c r="L224" s="100"/>
      <c r="M224" s="17"/>
      <c r="N224" s="99"/>
      <c r="AA224" s="10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</row>
    <row r="225">
      <c r="A225" s="17"/>
      <c r="B225" s="99"/>
      <c r="L225" s="100"/>
      <c r="M225" s="17"/>
      <c r="N225" s="99"/>
      <c r="AA225" s="10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</row>
    <row r="226">
      <c r="A226" s="17"/>
      <c r="B226" s="101"/>
      <c r="C226" s="102"/>
      <c r="D226" s="102"/>
      <c r="E226" s="102"/>
      <c r="F226" s="102"/>
      <c r="G226" s="102"/>
      <c r="H226" s="102"/>
      <c r="I226" s="102"/>
      <c r="J226" s="102"/>
      <c r="K226" s="102"/>
      <c r="L226" s="103"/>
      <c r="M226" s="17"/>
      <c r="N226" s="101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3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</row>
    <row r="228" ht="19.5" customHeight="1">
      <c r="A228" s="17"/>
      <c r="B228" s="108" t="str">
        <f>"Saturday"&amp;"   ·   "&amp;TEXT(MONTH_START+19,"d mmm")</f>
        <v>Saturday   ·   5 Sep</v>
      </c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</row>
    <row r="229">
      <c r="A229" s="17"/>
      <c r="B229" s="94" t="s">
        <v>130</v>
      </c>
      <c r="M229" s="17"/>
      <c r="N229" s="94" t="s">
        <v>131</v>
      </c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</row>
    <row r="230">
      <c r="A230" s="17"/>
      <c r="B230" s="96"/>
      <c r="C230" s="97"/>
      <c r="D230" s="97"/>
      <c r="E230" s="97"/>
      <c r="F230" s="97"/>
      <c r="G230" s="97"/>
      <c r="H230" s="97"/>
      <c r="I230" s="97"/>
      <c r="J230" s="97"/>
      <c r="K230" s="97"/>
      <c r="L230" s="98"/>
      <c r="M230" s="17"/>
      <c r="N230" s="96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8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</row>
    <row r="231">
      <c r="A231" s="17"/>
      <c r="B231" s="99"/>
      <c r="L231" s="100"/>
      <c r="M231" s="17"/>
      <c r="N231" s="99"/>
      <c r="AA231" s="10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</row>
    <row r="232">
      <c r="A232" s="17"/>
      <c r="B232" s="99"/>
      <c r="L232" s="100"/>
      <c r="M232" s="17"/>
      <c r="N232" s="99"/>
      <c r="AA232" s="10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</row>
    <row r="233">
      <c r="A233" s="17"/>
      <c r="B233" s="99"/>
      <c r="L233" s="100"/>
      <c r="M233" s="17"/>
      <c r="N233" s="99"/>
      <c r="AA233" s="10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</row>
    <row r="234">
      <c r="A234" s="17"/>
      <c r="B234" s="101"/>
      <c r="C234" s="102"/>
      <c r="D234" s="102"/>
      <c r="E234" s="102"/>
      <c r="F234" s="102"/>
      <c r="G234" s="102"/>
      <c r="H234" s="102"/>
      <c r="I234" s="102"/>
      <c r="J234" s="102"/>
      <c r="K234" s="102"/>
      <c r="L234" s="103"/>
      <c r="M234" s="17"/>
      <c r="N234" s="101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3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</row>
    <row r="236" ht="19.5" customHeight="1">
      <c r="A236" s="17"/>
      <c r="B236" s="108" t="str">
        <f>"Sunday"&amp;"   ·   "&amp;TEXT(MONTH_START+20,"d mmm")</f>
        <v>Sunday   ·   6 Sep</v>
      </c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</row>
    <row r="237">
      <c r="A237" s="17"/>
      <c r="B237" s="94" t="s">
        <v>130</v>
      </c>
      <c r="M237" s="17"/>
      <c r="N237" s="94" t="s">
        <v>131</v>
      </c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</row>
    <row r="238">
      <c r="A238" s="17"/>
      <c r="B238" s="96"/>
      <c r="C238" s="97"/>
      <c r="D238" s="97"/>
      <c r="E238" s="97"/>
      <c r="F238" s="97"/>
      <c r="G238" s="97"/>
      <c r="H238" s="97"/>
      <c r="I238" s="97"/>
      <c r="J238" s="97"/>
      <c r="K238" s="97"/>
      <c r="L238" s="98"/>
      <c r="M238" s="17"/>
      <c r="N238" s="96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8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</row>
    <row r="239">
      <c r="A239" s="17"/>
      <c r="B239" s="99"/>
      <c r="L239" s="100"/>
      <c r="M239" s="17"/>
      <c r="N239" s="99"/>
      <c r="AA239" s="10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</row>
    <row r="240">
      <c r="A240" s="17"/>
      <c r="B240" s="99"/>
      <c r="L240" s="100"/>
      <c r="M240" s="17"/>
      <c r="N240" s="99"/>
      <c r="AA240" s="10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</row>
    <row r="241">
      <c r="A241" s="17"/>
      <c r="B241" s="99"/>
      <c r="L241" s="100"/>
      <c r="M241" s="17"/>
      <c r="N241" s="99"/>
      <c r="AA241" s="10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</row>
    <row r="242">
      <c r="A242" s="17"/>
      <c r="B242" s="101"/>
      <c r="C242" s="102"/>
      <c r="D242" s="102"/>
      <c r="E242" s="102"/>
      <c r="F242" s="102"/>
      <c r="G242" s="102"/>
      <c r="H242" s="102"/>
      <c r="I242" s="102"/>
      <c r="J242" s="102"/>
      <c r="K242" s="102"/>
      <c r="L242" s="103"/>
      <c r="M242" s="17"/>
      <c r="N242" s="101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3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</row>
  </sheetData>
  <mergeCells count="281">
    <mergeCell ref="I30:K30"/>
    <mergeCell ref="L30:R30"/>
    <mergeCell ref="B31:E31"/>
    <mergeCell ref="F31:H31"/>
    <mergeCell ref="I31:K31"/>
    <mergeCell ref="L31:R31"/>
    <mergeCell ref="B33:R33"/>
    <mergeCell ref="B34:E34"/>
    <mergeCell ref="F34:H34"/>
    <mergeCell ref="I34:K34"/>
    <mergeCell ref="L34:R34"/>
    <mergeCell ref="F35:H35"/>
    <mergeCell ref="I35:K35"/>
    <mergeCell ref="L35:R35"/>
    <mergeCell ref="O4:P4"/>
    <mergeCell ref="Q4:R4"/>
    <mergeCell ref="O14:R14"/>
    <mergeCell ref="G4:H4"/>
    <mergeCell ref="I4:J4"/>
    <mergeCell ref="C14:F14"/>
    <mergeCell ref="G14:J14"/>
    <mergeCell ref="B16:R16"/>
    <mergeCell ref="B17:E17"/>
    <mergeCell ref="F17:H17"/>
    <mergeCell ref="B19:E19"/>
    <mergeCell ref="F19:H19"/>
    <mergeCell ref="I19:K19"/>
    <mergeCell ref="L19:R19"/>
    <mergeCell ref="F20:H20"/>
    <mergeCell ref="I20:K20"/>
    <mergeCell ref="L20:R20"/>
    <mergeCell ref="I22:K22"/>
    <mergeCell ref="L22:R22"/>
    <mergeCell ref="B20:E20"/>
    <mergeCell ref="B21:E21"/>
    <mergeCell ref="F21:H21"/>
    <mergeCell ref="I21:K21"/>
    <mergeCell ref="L21:R21"/>
    <mergeCell ref="B22:E22"/>
    <mergeCell ref="F22:H22"/>
    <mergeCell ref="I26:K26"/>
    <mergeCell ref="L26:R26"/>
    <mergeCell ref="I41:K41"/>
    <mergeCell ref="L41:R41"/>
    <mergeCell ref="B42:E42"/>
    <mergeCell ref="F42:H42"/>
    <mergeCell ref="I42:K42"/>
    <mergeCell ref="L42:R42"/>
    <mergeCell ref="B44:R44"/>
    <mergeCell ref="B177:E177"/>
    <mergeCell ref="F177:G177"/>
    <mergeCell ref="H177:I177"/>
    <mergeCell ref="J177:K177"/>
    <mergeCell ref="L177:R177"/>
    <mergeCell ref="B178:E178"/>
    <mergeCell ref="F178:G178"/>
    <mergeCell ref="L178:R178"/>
    <mergeCell ref="H178:I178"/>
    <mergeCell ref="J178:K178"/>
    <mergeCell ref="B179:E179"/>
    <mergeCell ref="F179:G179"/>
    <mergeCell ref="H179:I179"/>
    <mergeCell ref="J179:K179"/>
    <mergeCell ref="L179:R179"/>
    <mergeCell ref="B180:E180"/>
    <mergeCell ref="F180:G180"/>
    <mergeCell ref="H180:I180"/>
    <mergeCell ref="J180:K180"/>
    <mergeCell ref="L180:R180"/>
    <mergeCell ref="B181:E181"/>
    <mergeCell ref="F181:G181"/>
    <mergeCell ref="L181:R181"/>
    <mergeCell ref="H181:I181"/>
    <mergeCell ref="J181:K181"/>
    <mergeCell ref="B182:E182"/>
    <mergeCell ref="F182:G182"/>
    <mergeCell ref="H182:I182"/>
    <mergeCell ref="J182:K182"/>
    <mergeCell ref="L182:R182"/>
    <mergeCell ref="B186:AA186"/>
    <mergeCell ref="B188:AA188"/>
    <mergeCell ref="B189:L189"/>
    <mergeCell ref="N189:AA189"/>
    <mergeCell ref="B190:L194"/>
    <mergeCell ref="N190:AA194"/>
    <mergeCell ref="B196:AA196"/>
    <mergeCell ref="N205:AA205"/>
    <mergeCell ref="N206:AA210"/>
    <mergeCell ref="B197:L197"/>
    <mergeCell ref="N197:AA197"/>
    <mergeCell ref="B198:L202"/>
    <mergeCell ref="N198:AA202"/>
    <mergeCell ref="B204:AA204"/>
    <mergeCell ref="B205:L205"/>
    <mergeCell ref="B206:L210"/>
    <mergeCell ref="B212:AA212"/>
    <mergeCell ref="B213:L213"/>
    <mergeCell ref="N213:AA213"/>
    <mergeCell ref="B214:L218"/>
    <mergeCell ref="N214:AA218"/>
    <mergeCell ref="B220:AA220"/>
    <mergeCell ref="N221:AA221"/>
    <mergeCell ref="N230:AA234"/>
    <mergeCell ref="B236:AA236"/>
    <mergeCell ref="B237:L237"/>
    <mergeCell ref="N237:AA237"/>
    <mergeCell ref="B238:L242"/>
    <mergeCell ref="N238:AA242"/>
    <mergeCell ref="B221:L221"/>
    <mergeCell ref="B222:L226"/>
    <mergeCell ref="N222:AA226"/>
    <mergeCell ref="B228:AA228"/>
    <mergeCell ref="B229:L229"/>
    <mergeCell ref="N229:AA229"/>
    <mergeCell ref="B230:L234"/>
    <mergeCell ref="J172:K172"/>
    <mergeCell ref="L172:R172"/>
    <mergeCell ref="L173:R173"/>
    <mergeCell ref="B170:R170"/>
    <mergeCell ref="B171:E171"/>
    <mergeCell ref="F171:G171"/>
    <mergeCell ref="H171:I171"/>
    <mergeCell ref="J171:K171"/>
    <mergeCell ref="L171:R171"/>
    <mergeCell ref="B172:E172"/>
    <mergeCell ref="F174:G174"/>
    <mergeCell ref="H174:I174"/>
    <mergeCell ref="L174:R174"/>
    <mergeCell ref="L175:R175"/>
    <mergeCell ref="F172:G172"/>
    <mergeCell ref="H172:I172"/>
    <mergeCell ref="B173:E173"/>
    <mergeCell ref="F173:G173"/>
    <mergeCell ref="H173:I173"/>
    <mergeCell ref="J173:K173"/>
    <mergeCell ref="J174:K174"/>
    <mergeCell ref="H176:I176"/>
    <mergeCell ref="J176:K176"/>
    <mergeCell ref="L176:R176"/>
    <mergeCell ref="B174:E174"/>
    <mergeCell ref="B175:E175"/>
    <mergeCell ref="F175:G175"/>
    <mergeCell ref="H175:I175"/>
    <mergeCell ref="J175:K175"/>
    <mergeCell ref="B176:E176"/>
    <mergeCell ref="F176:G176"/>
    <mergeCell ref="B183:E183"/>
    <mergeCell ref="F183:G183"/>
    <mergeCell ref="H183:I183"/>
    <mergeCell ref="J183:K183"/>
    <mergeCell ref="L183:R183"/>
    <mergeCell ref="AI4:AJ4"/>
    <mergeCell ref="AK4:AL4"/>
    <mergeCell ref="AM4:AN4"/>
    <mergeCell ref="AO4:AP4"/>
    <mergeCell ref="AQ4:AR4"/>
    <mergeCell ref="AS4:AT4"/>
    <mergeCell ref="AU4:AV4"/>
    <mergeCell ref="AW4:AX4"/>
    <mergeCell ref="AZ3:BB3"/>
    <mergeCell ref="AZ4:BB4"/>
    <mergeCell ref="B1:AX1"/>
    <mergeCell ref="AZ1:BK1"/>
    <mergeCell ref="B2:AX2"/>
    <mergeCell ref="AZ2:BK2"/>
    <mergeCell ref="B4:B5"/>
    <mergeCell ref="C4:D4"/>
    <mergeCell ref="E4:F4"/>
    <mergeCell ref="BD3:BQ3"/>
    <mergeCell ref="B23:E23"/>
    <mergeCell ref="F23:H23"/>
    <mergeCell ref="I23:K23"/>
    <mergeCell ref="L23:R23"/>
    <mergeCell ref="F24:H24"/>
    <mergeCell ref="I24:K24"/>
    <mergeCell ref="L24:R24"/>
    <mergeCell ref="AZ24:BB24"/>
    <mergeCell ref="B24:E24"/>
    <mergeCell ref="B25:E25"/>
    <mergeCell ref="F25:H25"/>
    <mergeCell ref="I25:K25"/>
    <mergeCell ref="L25:R25"/>
    <mergeCell ref="B26:E26"/>
    <mergeCell ref="F26:H26"/>
    <mergeCell ref="B27:E27"/>
    <mergeCell ref="F27:H27"/>
    <mergeCell ref="I27:K27"/>
    <mergeCell ref="L27:R27"/>
    <mergeCell ref="F28:H28"/>
    <mergeCell ref="I28:K28"/>
    <mergeCell ref="L28:R28"/>
    <mergeCell ref="AZ29:BB29"/>
    <mergeCell ref="BD30:BL30"/>
    <mergeCell ref="B28:E28"/>
    <mergeCell ref="B29:E29"/>
    <mergeCell ref="F29:H29"/>
    <mergeCell ref="I29:K29"/>
    <mergeCell ref="L29:R29"/>
    <mergeCell ref="B30:E30"/>
    <mergeCell ref="F30:H30"/>
    <mergeCell ref="I37:K37"/>
    <mergeCell ref="L37:R37"/>
    <mergeCell ref="B35:E35"/>
    <mergeCell ref="B36:E36"/>
    <mergeCell ref="F36:H36"/>
    <mergeCell ref="I36:K36"/>
    <mergeCell ref="L36:R36"/>
    <mergeCell ref="B37:E37"/>
    <mergeCell ref="F37:H37"/>
    <mergeCell ref="AZ34:BB34"/>
    <mergeCell ref="B38:E38"/>
    <mergeCell ref="F38:H38"/>
    <mergeCell ref="I38:K38"/>
    <mergeCell ref="L38:R38"/>
    <mergeCell ref="F39:H39"/>
    <mergeCell ref="I39:K39"/>
    <mergeCell ref="L39:R39"/>
    <mergeCell ref="BD40:BL40"/>
    <mergeCell ref="BD45:BK45"/>
    <mergeCell ref="B39:E39"/>
    <mergeCell ref="B40:E40"/>
    <mergeCell ref="F40:H40"/>
    <mergeCell ref="I40:K40"/>
    <mergeCell ref="L40:R40"/>
    <mergeCell ref="B41:E41"/>
    <mergeCell ref="F41:H41"/>
    <mergeCell ref="B62:R64"/>
    <mergeCell ref="B66:R66"/>
    <mergeCell ref="B67:R69"/>
    <mergeCell ref="B46:R46"/>
    <mergeCell ref="B47:R49"/>
    <mergeCell ref="B51:R51"/>
    <mergeCell ref="B52:R54"/>
    <mergeCell ref="B56:R56"/>
    <mergeCell ref="B57:R59"/>
    <mergeCell ref="B61:R61"/>
    <mergeCell ref="BI15:BK15"/>
    <mergeCell ref="BM15:BP15"/>
    <mergeCell ref="AU14:AX14"/>
    <mergeCell ref="AZ14:BB14"/>
    <mergeCell ref="BD14:BQ14"/>
    <mergeCell ref="BD15:BG15"/>
    <mergeCell ref="BD16:BG17"/>
    <mergeCell ref="BI16:BK17"/>
    <mergeCell ref="BM16:BP17"/>
    <mergeCell ref="BF25:BH25"/>
    <mergeCell ref="BF26:BH26"/>
    <mergeCell ref="BF27:BH27"/>
    <mergeCell ref="BF28:BH28"/>
    <mergeCell ref="AZ19:BB19"/>
    <mergeCell ref="BF19:BH19"/>
    <mergeCell ref="BF20:BH20"/>
    <mergeCell ref="BF21:BH21"/>
    <mergeCell ref="BF22:BH22"/>
    <mergeCell ref="BF23:BH23"/>
    <mergeCell ref="BF24:BH24"/>
    <mergeCell ref="K4:L4"/>
    <mergeCell ref="M4:N4"/>
    <mergeCell ref="K14:N14"/>
    <mergeCell ref="S4:T4"/>
    <mergeCell ref="U4:V4"/>
    <mergeCell ref="S14:V14"/>
    <mergeCell ref="W4:X4"/>
    <mergeCell ref="Y4:Z4"/>
    <mergeCell ref="W14:Z14"/>
    <mergeCell ref="AA4:AB4"/>
    <mergeCell ref="AC4:AD4"/>
    <mergeCell ref="AA14:AD14"/>
    <mergeCell ref="I17:K17"/>
    <mergeCell ref="L17:R17"/>
    <mergeCell ref="B18:E18"/>
    <mergeCell ref="F18:H18"/>
    <mergeCell ref="I18:K18"/>
    <mergeCell ref="L18:R18"/>
    <mergeCell ref="AE4:AF4"/>
    <mergeCell ref="AG4:AH4"/>
    <mergeCell ref="AE14:AH14"/>
    <mergeCell ref="AI14:AL14"/>
    <mergeCell ref="AM14:AP14"/>
    <mergeCell ref="AQ14:AT14"/>
    <mergeCell ref="AZ9:BB9"/>
  </mergeCells>
  <conditionalFormatting sqref="C6:AX12">
    <cfRule type="cellIs" dxfId="0" priority="1" stopIfTrue="1" operator="equal">
      <formula>"codding"</formula>
    </cfRule>
  </conditionalFormatting>
  <conditionalFormatting sqref="C6:AX12">
    <cfRule type="cellIs" dxfId="1" priority="2" stopIfTrue="1" operator="equal">
      <formula>"learn-prog"</formula>
    </cfRule>
  </conditionalFormatting>
  <conditionalFormatting sqref="C6:AX12">
    <cfRule type="cellIs" dxfId="2" priority="3" stopIfTrue="1" operator="equal">
      <formula>"En-book"</formula>
    </cfRule>
  </conditionalFormatting>
  <conditionalFormatting sqref="C6:AX12">
    <cfRule type="cellIs" dxfId="3" priority="4" stopIfTrue="1" operator="equal">
      <formula>"En-listening"</formula>
    </cfRule>
  </conditionalFormatting>
  <conditionalFormatting sqref="C6:AX12">
    <cfRule type="cellIs" dxfId="4" priority="5" stopIfTrue="1" operator="equal">
      <formula>"Run"</formula>
    </cfRule>
  </conditionalFormatting>
  <conditionalFormatting sqref="C6:AX12">
    <cfRule type="cellIs" dxfId="5" priority="6" stopIfTrue="1" operator="equal">
      <formula>"Gym"</formula>
    </cfRule>
  </conditionalFormatting>
  <conditionalFormatting sqref="C6:AX12">
    <cfRule type="cellIs" dxfId="6" priority="7" stopIfTrue="1" operator="equal">
      <formula>"work"</formula>
    </cfRule>
  </conditionalFormatting>
  <conditionalFormatting sqref="C6:AX12">
    <cfRule type="cellIs" dxfId="7" priority="8" stopIfTrue="1" operator="equal">
      <formula>"Meditation"</formula>
    </cfRule>
  </conditionalFormatting>
  <conditionalFormatting sqref="C6:AX12">
    <cfRule type="cellIs" dxfId="8" priority="9" stopIfTrue="1" operator="equal">
      <formula>"Setar"</formula>
    </cfRule>
  </conditionalFormatting>
  <conditionalFormatting sqref="C6:AX12">
    <cfRule type="cellIs" dxfId="9" priority="10" stopIfTrue="1" operator="equal">
      <formula>"Personal Tasks"</formula>
    </cfRule>
  </conditionalFormatting>
  <conditionalFormatting sqref="C6:AX12">
    <cfRule type="cellIs" dxfId="10" priority="11" stopIfTrue="1" operator="equal">
      <formula>"Wasted Time"</formula>
    </cfRule>
  </conditionalFormatting>
  <conditionalFormatting sqref="C6:AX12">
    <cfRule type="cellIs" dxfId="11" priority="12" stopIfTrue="1" operator="equal">
      <formula>"Sleep"</formula>
    </cfRule>
  </conditionalFormatting>
  <conditionalFormatting sqref="AZ4:BB38">
    <cfRule type="expression" dxfId="12" priority="13" stopIfTrue="1">
      <formula>$AZ4=TRUE</formula>
    </cfRule>
  </conditionalFormatting>
  <dataValidations>
    <dataValidation type="list" allowBlank="1" showInputMessage="1" showErrorMessage="1" prompt="Pick an activity — each block is 30 minutes." sqref="C6:AX12">
      <formula1>'⚙️ Config'!$A$2:$A$13</formula1>
    </dataValidation>
  </dataValidations>
  <hyperlinks>
    <hyperlink display="📅 Week 1    |    📅 Week 2    |    📅 Week 3    |    📅 Week 4    |    📊 Dashboard" location="'Week 1'!A1" ref="B2"/>
  </hyperlin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27B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4.13"/>
    <col customWidth="1" min="3" max="50" width="3.88"/>
    <col customWidth="1" min="51" max="51" width="2.88"/>
    <col customWidth="1" min="52" max="52" width="5.63"/>
    <col customWidth="1" min="53" max="53" width="28.88"/>
    <col customWidth="1" min="54" max="54" width="31.38"/>
    <col customWidth="1" min="55" max="55" width="2.63"/>
    <col customWidth="1" min="56" max="56" width="12.13"/>
    <col customWidth="1" min="57" max="68" width="10.75"/>
    <col customWidth="1" min="69" max="69" width="10.13"/>
    <col customWidth="1" min="70" max="70" width="2.13"/>
  </cols>
  <sheetData>
    <row r="1" ht="37.5" customHeight="1">
      <c r="A1" s="17"/>
      <c r="B1" s="18" t="s">
        <v>48</v>
      </c>
      <c r="AY1" s="17"/>
      <c r="AZ1" s="19" t="s">
        <v>37</v>
      </c>
      <c r="BL1" s="17"/>
      <c r="BM1" s="17"/>
      <c r="BN1" s="17"/>
      <c r="BO1" s="17"/>
      <c r="BP1" s="17"/>
      <c r="BQ1" s="17"/>
      <c r="BR1" s="17"/>
    </row>
    <row r="2" ht="21.0" customHeight="1">
      <c r="A2" s="17"/>
      <c r="B2" s="20" t="s">
        <v>61</v>
      </c>
      <c r="AY2" s="17"/>
      <c r="AZ2" s="21" t="s">
        <v>40</v>
      </c>
      <c r="BL2" s="17"/>
      <c r="BM2" s="17"/>
      <c r="BN2" s="17"/>
      <c r="BO2" s="17"/>
      <c r="BP2" s="17"/>
      <c r="BQ2" s="17"/>
      <c r="BR2" s="17"/>
    </row>
    <row r="3" ht="22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22" t="s">
        <v>42</v>
      </c>
      <c r="BC3" s="17"/>
      <c r="BD3" s="22" t="s">
        <v>43</v>
      </c>
      <c r="BR3" s="17"/>
    </row>
    <row r="4" ht="19.5" customHeight="1">
      <c r="A4" s="17"/>
      <c r="B4" s="23" t="s">
        <v>44</v>
      </c>
      <c r="C4" s="24">
        <v>0.0</v>
      </c>
      <c r="D4" s="25"/>
      <c r="E4" s="24">
        <v>1.0</v>
      </c>
      <c r="F4" s="25"/>
      <c r="G4" s="24">
        <v>2.0</v>
      </c>
      <c r="H4" s="25"/>
      <c r="I4" s="24">
        <v>3.0</v>
      </c>
      <c r="J4" s="25"/>
      <c r="K4" s="24">
        <v>4.0</v>
      </c>
      <c r="L4" s="25"/>
      <c r="M4" s="24">
        <v>5.0</v>
      </c>
      <c r="N4" s="25"/>
      <c r="O4" s="26">
        <v>6.0</v>
      </c>
      <c r="P4" s="25"/>
      <c r="Q4" s="26">
        <v>7.0</v>
      </c>
      <c r="R4" s="25"/>
      <c r="S4" s="26">
        <v>8.0</v>
      </c>
      <c r="T4" s="25"/>
      <c r="U4" s="26">
        <v>9.0</v>
      </c>
      <c r="V4" s="25"/>
      <c r="W4" s="26">
        <v>10.0</v>
      </c>
      <c r="X4" s="25"/>
      <c r="Y4" s="26">
        <v>11.0</v>
      </c>
      <c r="Z4" s="25"/>
      <c r="AA4" s="27">
        <v>12.0</v>
      </c>
      <c r="AB4" s="25"/>
      <c r="AC4" s="27">
        <v>13.0</v>
      </c>
      <c r="AD4" s="25"/>
      <c r="AE4" s="27">
        <v>14.0</v>
      </c>
      <c r="AF4" s="25"/>
      <c r="AG4" s="27">
        <v>15.0</v>
      </c>
      <c r="AH4" s="25"/>
      <c r="AI4" s="27">
        <v>16.0</v>
      </c>
      <c r="AJ4" s="25"/>
      <c r="AK4" s="27">
        <v>17.0</v>
      </c>
      <c r="AL4" s="25"/>
      <c r="AM4" s="28">
        <v>18.0</v>
      </c>
      <c r="AN4" s="25"/>
      <c r="AO4" s="28">
        <v>19.0</v>
      </c>
      <c r="AP4" s="25"/>
      <c r="AQ4" s="28">
        <v>20.0</v>
      </c>
      <c r="AR4" s="25"/>
      <c r="AS4" s="28">
        <v>21.0</v>
      </c>
      <c r="AT4" s="25"/>
      <c r="AU4" s="28">
        <v>22.0</v>
      </c>
      <c r="AV4" s="25"/>
      <c r="AW4" s="28">
        <v>23.0</v>
      </c>
      <c r="AX4" s="25"/>
      <c r="AY4" s="17"/>
      <c r="AZ4" s="29" t="s">
        <v>45</v>
      </c>
      <c r="BA4" s="30"/>
      <c r="BB4" s="25"/>
      <c r="BC4" s="17"/>
      <c r="BD4" s="31" t="s">
        <v>46</v>
      </c>
      <c r="BE4" s="31" t="s">
        <v>47</v>
      </c>
      <c r="BF4" s="31" t="s">
        <v>49</v>
      </c>
      <c r="BG4" s="31" t="s">
        <v>50</v>
      </c>
      <c r="BH4" s="31" t="s">
        <v>51</v>
      </c>
      <c r="BI4" s="31" t="s">
        <v>52</v>
      </c>
      <c r="BJ4" s="31" t="s">
        <v>53</v>
      </c>
      <c r="BK4" s="31" t="s">
        <v>54</v>
      </c>
      <c r="BL4" s="31" t="s">
        <v>55</v>
      </c>
      <c r="BM4" s="31" t="s">
        <v>56</v>
      </c>
      <c r="BN4" s="31" t="s">
        <v>57</v>
      </c>
      <c r="BO4" s="31" t="s">
        <v>58</v>
      </c>
      <c r="BP4" s="31" t="s">
        <v>59</v>
      </c>
      <c r="BQ4" s="31" t="s">
        <v>60</v>
      </c>
      <c r="BR4" s="17"/>
    </row>
    <row r="5" ht="16.5" customHeight="1">
      <c r="A5" s="17"/>
      <c r="B5" s="32"/>
      <c r="C5" s="33">
        <v>0.0</v>
      </c>
      <c r="D5" s="33">
        <v>30.0</v>
      </c>
      <c r="E5" s="33">
        <v>0.0</v>
      </c>
      <c r="F5" s="33">
        <v>30.0</v>
      </c>
      <c r="G5" s="33">
        <v>0.0</v>
      </c>
      <c r="H5" s="33">
        <v>30.0</v>
      </c>
      <c r="I5" s="33">
        <v>0.0</v>
      </c>
      <c r="J5" s="33">
        <v>30.0</v>
      </c>
      <c r="K5" s="33">
        <v>0.0</v>
      </c>
      <c r="L5" s="33">
        <v>30.0</v>
      </c>
      <c r="M5" s="33">
        <v>0.0</v>
      </c>
      <c r="N5" s="33">
        <v>30.0</v>
      </c>
      <c r="O5" s="33">
        <v>0.0</v>
      </c>
      <c r="P5" s="33">
        <v>30.0</v>
      </c>
      <c r="Q5" s="33">
        <v>0.0</v>
      </c>
      <c r="R5" s="33">
        <v>30.0</v>
      </c>
      <c r="S5" s="33">
        <v>0.0</v>
      </c>
      <c r="T5" s="33">
        <v>30.0</v>
      </c>
      <c r="U5" s="33">
        <v>0.0</v>
      </c>
      <c r="V5" s="33">
        <v>30.0</v>
      </c>
      <c r="W5" s="33">
        <v>0.0</v>
      </c>
      <c r="X5" s="33">
        <v>30.0</v>
      </c>
      <c r="Y5" s="33">
        <v>0.0</v>
      </c>
      <c r="Z5" s="33">
        <v>30.0</v>
      </c>
      <c r="AA5" s="33">
        <v>0.0</v>
      </c>
      <c r="AB5" s="33">
        <v>30.0</v>
      </c>
      <c r="AC5" s="33">
        <v>0.0</v>
      </c>
      <c r="AD5" s="33">
        <v>30.0</v>
      </c>
      <c r="AE5" s="33">
        <v>0.0</v>
      </c>
      <c r="AF5" s="33">
        <v>30.0</v>
      </c>
      <c r="AG5" s="33">
        <v>0.0</v>
      </c>
      <c r="AH5" s="33">
        <v>30.0</v>
      </c>
      <c r="AI5" s="33">
        <v>0.0</v>
      </c>
      <c r="AJ5" s="33">
        <v>30.0</v>
      </c>
      <c r="AK5" s="33">
        <v>0.0</v>
      </c>
      <c r="AL5" s="33">
        <v>30.0</v>
      </c>
      <c r="AM5" s="33">
        <v>0.0</v>
      </c>
      <c r="AN5" s="33">
        <v>30.0</v>
      </c>
      <c r="AO5" s="33">
        <v>0.0</v>
      </c>
      <c r="AP5" s="33">
        <v>30.0</v>
      </c>
      <c r="AQ5" s="33">
        <v>0.0</v>
      </c>
      <c r="AR5" s="33">
        <v>30.0</v>
      </c>
      <c r="AS5" s="33">
        <v>0.0</v>
      </c>
      <c r="AT5" s="33">
        <v>30.0</v>
      </c>
      <c r="AU5" s="33">
        <v>0.0</v>
      </c>
      <c r="AV5" s="33">
        <v>30.0</v>
      </c>
      <c r="AW5" s="33">
        <v>0.0</v>
      </c>
      <c r="AX5" s="33">
        <v>30.0</v>
      </c>
      <c r="AY5" s="17"/>
      <c r="AZ5" s="34" t="b">
        <v>0</v>
      </c>
      <c r="BA5" s="35"/>
      <c r="BB5" s="35"/>
      <c r="BC5" s="17"/>
      <c r="BD5" s="36" t="s">
        <v>62</v>
      </c>
      <c r="BE5" s="37">
        <f>COUNTIF($C$6:$AX$6,"codding")*0.5</f>
        <v>0</v>
      </c>
      <c r="BF5" s="37">
        <f>COUNTIF($C$6:$AX$6,"learn-prog")*0.5</f>
        <v>0</v>
      </c>
      <c r="BG5" s="37">
        <f>COUNTIF($C$6:$AX$6,"En-book")*0.5</f>
        <v>0</v>
      </c>
      <c r="BH5" s="37">
        <f>COUNTIF($C$6:$AX$6,"En-listening")*0.5</f>
        <v>0</v>
      </c>
      <c r="BI5" s="37">
        <f>COUNTIF($C$6:$AX$6,"Run")*0.5</f>
        <v>0</v>
      </c>
      <c r="BJ5" s="37">
        <f>COUNTIF($C$6:$AX$6,"Gym")*0.5</f>
        <v>0</v>
      </c>
      <c r="BK5" s="37">
        <f>COUNTIF($C$6:$AX$6,"work")*0.5</f>
        <v>0</v>
      </c>
      <c r="BL5" s="37">
        <f>COUNTIF($C$6:$AX$6,"Meditation")*0.5</f>
        <v>0</v>
      </c>
      <c r="BM5" s="37">
        <f>COUNTIF($C$6:$AX$6,"Setar")*0.5</f>
        <v>0</v>
      </c>
      <c r="BN5" s="37">
        <f>COUNTIF($C$6:$AX$6,"Personal Tasks")*0.5</f>
        <v>0</v>
      </c>
      <c r="BO5" s="37">
        <f>COUNTIF($C$6:$AX$6,"Wasted Time")*0.5</f>
        <v>0</v>
      </c>
      <c r="BP5" s="37">
        <f>COUNTIF($C$6:$AX$6,"Sleep")*0.5</f>
        <v>0</v>
      </c>
      <c r="BQ5" s="38">
        <f t="shared" ref="BQ5:BQ11" si="1">SUM(BE5:BP5)</f>
        <v>0</v>
      </c>
      <c r="BR5" s="17"/>
    </row>
    <row r="6" ht="27.0" customHeight="1">
      <c r="A6" s="17"/>
      <c r="B6" s="39" t="str">
        <f>"Monday"&amp;CHAR(10)&amp;TEXT(MONTH_START+21,"d mmm")</f>
        <v>Monday
7 Sep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17"/>
      <c r="AZ6" s="34" t="b">
        <v>0</v>
      </c>
      <c r="BA6" s="35"/>
      <c r="BB6" s="35"/>
      <c r="BC6" s="17"/>
      <c r="BD6" s="36" t="s">
        <v>65</v>
      </c>
      <c r="BE6" s="37">
        <f>COUNTIF($C$7:$AX$7,"codding")*0.5</f>
        <v>0</v>
      </c>
      <c r="BF6" s="37">
        <f>COUNTIF($C$7:$AX$7,"learn-prog")*0.5</f>
        <v>0</v>
      </c>
      <c r="BG6" s="37">
        <f>COUNTIF($C$7:$AX$7,"En-book")*0.5</f>
        <v>0</v>
      </c>
      <c r="BH6" s="37">
        <f>COUNTIF($C$7:$AX$7,"En-listening")*0.5</f>
        <v>0</v>
      </c>
      <c r="BI6" s="37">
        <f>COUNTIF($C$7:$AX$7,"Run")*0.5</f>
        <v>0</v>
      </c>
      <c r="BJ6" s="37">
        <f>COUNTIF($C$7:$AX$7,"Gym")*0.5</f>
        <v>0</v>
      </c>
      <c r="BK6" s="37">
        <f>COUNTIF($C$7:$AX$7,"work")*0.5</f>
        <v>0</v>
      </c>
      <c r="BL6" s="37">
        <f>COUNTIF($C$7:$AX$7,"Meditation")*0.5</f>
        <v>0</v>
      </c>
      <c r="BM6" s="37">
        <f>COUNTIF($C$7:$AX$7,"Setar")*0.5</f>
        <v>0</v>
      </c>
      <c r="BN6" s="37">
        <f>COUNTIF($C$7:$AX$7,"Personal Tasks")*0.5</f>
        <v>0</v>
      </c>
      <c r="BO6" s="37">
        <f>COUNTIF($C$7:$AX$7,"Wasted Time")*0.5</f>
        <v>0</v>
      </c>
      <c r="BP6" s="37">
        <f>COUNTIF($C$7:$AX$7,"Sleep")*0.5</f>
        <v>0</v>
      </c>
      <c r="BQ6" s="38">
        <f t="shared" si="1"/>
        <v>0</v>
      </c>
      <c r="BR6" s="17"/>
    </row>
    <row r="7" ht="27.0" customHeight="1">
      <c r="A7" s="17"/>
      <c r="B7" s="39" t="str">
        <f>"Tuesday"&amp;CHAR(10)&amp;TEXT(MONTH_START+22,"d mmm")</f>
        <v>Tuesday
8 Sep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17"/>
      <c r="AZ7" s="34" t="b">
        <v>0</v>
      </c>
      <c r="BA7" s="35"/>
      <c r="BB7" s="35"/>
      <c r="BC7" s="17"/>
      <c r="BD7" s="36" t="s">
        <v>66</v>
      </c>
      <c r="BE7" s="37">
        <f>COUNTIF($C$8:$AX$8,"codding")*0.5</f>
        <v>0</v>
      </c>
      <c r="BF7" s="37">
        <f>COUNTIF($C$8:$AX$8,"learn-prog")*0.5</f>
        <v>0</v>
      </c>
      <c r="BG7" s="37">
        <f>COUNTIF($C$8:$AX$8,"En-book")*0.5</f>
        <v>0</v>
      </c>
      <c r="BH7" s="37">
        <f>COUNTIF($C$8:$AX$8,"En-listening")*0.5</f>
        <v>0</v>
      </c>
      <c r="BI7" s="37">
        <f>COUNTIF($C$8:$AX$8,"Run")*0.5</f>
        <v>0</v>
      </c>
      <c r="BJ7" s="37">
        <f>COUNTIF($C$8:$AX$8,"Gym")*0.5</f>
        <v>0</v>
      </c>
      <c r="BK7" s="37">
        <f>COUNTIF($C$8:$AX$8,"work")*0.5</f>
        <v>0</v>
      </c>
      <c r="BL7" s="37">
        <f>COUNTIF($C$8:$AX$8,"Meditation")*0.5</f>
        <v>0</v>
      </c>
      <c r="BM7" s="37">
        <f>COUNTIF($C$8:$AX$8,"Setar")*0.5</f>
        <v>0</v>
      </c>
      <c r="BN7" s="37">
        <f>COUNTIF($C$8:$AX$8,"Personal Tasks")*0.5</f>
        <v>0</v>
      </c>
      <c r="BO7" s="37">
        <f>COUNTIF($C$8:$AX$8,"Wasted Time")*0.5</f>
        <v>0</v>
      </c>
      <c r="BP7" s="37">
        <f>COUNTIF($C$8:$AX$8,"Sleep")*0.5</f>
        <v>0</v>
      </c>
      <c r="BQ7" s="38">
        <f t="shared" si="1"/>
        <v>0</v>
      </c>
      <c r="BR7" s="17"/>
    </row>
    <row r="8" ht="27.0" customHeight="1">
      <c r="A8" s="17"/>
      <c r="B8" s="39" t="str">
        <f>"Wednesday"&amp;CHAR(10)&amp;TEXT(MONTH_START+23,"d mmm")</f>
        <v>Wednesday
9 Sep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17"/>
      <c r="AZ8" s="34" t="b">
        <v>0</v>
      </c>
      <c r="BA8" s="35"/>
      <c r="BB8" s="35"/>
      <c r="BC8" s="17"/>
      <c r="BD8" s="36" t="s">
        <v>67</v>
      </c>
      <c r="BE8" s="37">
        <f>COUNTIF($C$9:$AX$9,"codding")*0.5</f>
        <v>0</v>
      </c>
      <c r="BF8" s="37">
        <f>COUNTIF($C$9:$AX$9,"learn-prog")*0.5</f>
        <v>0</v>
      </c>
      <c r="BG8" s="37">
        <f>COUNTIF($C$9:$AX$9,"En-book")*0.5</f>
        <v>0</v>
      </c>
      <c r="BH8" s="37">
        <f>COUNTIF($C$9:$AX$9,"En-listening")*0.5</f>
        <v>0</v>
      </c>
      <c r="BI8" s="37">
        <f>COUNTIF($C$9:$AX$9,"Run")*0.5</f>
        <v>0</v>
      </c>
      <c r="BJ8" s="37">
        <f>COUNTIF($C$9:$AX$9,"Gym")*0.5</f>
        <v>0</v>
      </c>
      <c r="BK8" s="37">
        <f>COUNTIF($C$9:$AX$9,"work")*0.5</f>
        <v>0</v>
      </c>
      <c r="BL8" s="37">
        <f>COUNTIF($C$9:$AX$9,"Meditation")*0.5</f>
        <v>0</v>
      </c>
      <c r="BM8" s="37">
        <f>COUNTIF($C$9:$AX$9,"Setar")*0.5</f>
        <v>0</v>
      </c>
      <c r="BN8" s="37">
        <f>COUNTIF($C$9:$AX$9,"Personal Tasks")*0.5</f>
        <v>0</v>
      </c>
      <c r="BO8" s="37">
        <f>COUNTIF($C$9:$AX$9,"Wasted Time")*0.5</f>
        <v>0</v>
      </c>
      <c r="BP8" s="37">
        <f>COUNTIF($C$9:$AX$9,"Sleep")*0.5</f>
        <v>0</v>
      </c>
      <c r="BQ8" s="38">
        <f t="shared" si="1"/>
        <v>0</v>
      </c>
      <c r="BR8" s="17"/>
    </row>
    <row r="9" ht="27.0" customHeight="1">
      <c r="A9" s="17"/>
      <c r="B9" s="39" t="str">
        <f>"Thursday"&amp;CHAR(10)&amp;TEXT(MONTH_START+24,"d mmm")</f>
        <v>Thursday
10 Sep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17"/>
      <c r="AZ9" s="29" t="s">
        <v>68</v>
      </c>
      <c r="BA9" s="30"/>
      <c r="BB9" s="25"/>
      <c r="BC9" s="17"/>
      <c r="BD9" s="41" t="s">
        <v>69</v>
      </c>
      <c r="BE9" s="37">
        <f>COUNTIF($C$10:$AX$10,"codding")*0.5</f>
        <v>0</v>
      </c>
      <c r="BF9" s="37">
        <f>COUNTIF($C$10:$AX$10,"learn-prog")*0.5</f>
        <v>0</v>
      </c>
      <c r="BG9" s="37">
        <f>COUNTIF($C$10:$AX$10,"En-book")*0.5</f>
        <v>0</v>
      </c>
      <c r="BH9" s="37">
        <f>COUNTIF($C$10:$AX$10,"En-listening")*0.5</f>
        <v>0</v>
      </c>
      <c r="BI9" s="37">
        <f>COUNTIF($C$10:$AX$10,"Run")*0.5</f>
        <v>0</v>
      </c>
      <c r="BJ9" s="37">
        <f>COUNTIF($C$10:$AX$10,"Gym")*0.5</f>
        <v>0</v>
      </c>
      <c r="BK9" s="37">
        <f>COUNTIF($C$10:$AX$10,"work")*0.5</f>
        <v>0</v>
      </c>
      <c r="BL9" s="37">
        <f>COUNTIF($C$10:$AX$10,"Meditation")*0.5</f>
        <v>0</v>
      </c>
      <c r="BM9" s="37">
        <f>COUNTIF($C$10:$AX$10,"Setar")*0.5</f>
        <v>0</v>
      </c>
      <c r="BN9" s="37">
        <f>COUNTIF($C$10:$AX$10,"Personal Tasks")*0.5</f>
        <v>0</v>
      </c>
      <c r="BO9" s="37">
        <f>COUNTIF($C$10:$AX$10,"Wasted Time")*0.5</f>
        <v>0</v>
      </c>
      <c r="BP9" s="37">
        <f>COUNTIF($C$10:$AX$10,"Sleep")*0.5</f>
        <v>0</v>
      </c>
      <c r="BQ9" s="38">
        <f t="shared" si="1"/>
        <v>0</v>
      </c>
      <c r="BR9" s="17"/>
    </row>
    <row r="10" ht="27.0" customHeight="1">
      <c r="A10" s="17"/>
      <c r="B10" s="42" t="str">
        <f>"Friday"&amp;CHAR(10)&amp;TEXT(MONTH_START+25,"d mmm")</f>
        <v>Friday
11 Sep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17"/>
      <c r="AZ10" s="34" t="b">
        <v>0</v>
      </c>
      <c r="BA10" s="35"/>
      <c r="BB10" s="35"/>
      <c r="BC10" s="17"/>
      <c r="BD10" s="36" t="s">
        <v>70</v>
      </c>
      <c r="BE10" s="37">
        <f>COUNTIF($C$11:$AX$11,"codding")*0.5</f>
        <v>0</v>
      </c>
      <c r="BF10" s="37">
        <f>COUNTIF($C$11:$AX$11,"learn-prog")*0.5</f>
        <v>0</v>
      </c>
      <c r="BG10" s="37">
        <f>COUNTIF($C$11:$AX$11,"En-book")*0.5</f>
        <v>0</v>
      </c>
      <c r="BH10" s="37">
        <f>COUNTIF($C$11:$AX$11,"En-listening")*0.5</f>
        <v>0</v>
      </c>
      <c r="BI10" s="37">
        <f>COUNTIF($C$11:$AX$11,"Run")*0.5</f>
        <v>0</v>
      </c>
      <c r="BJ10" s="37">
        <f>COUNTIF($C$11:$AX$11,"Gym")*0.5</f>
        <v>0</v>
      </c>
      <c r="BK10" s="37">
        <f>COUNTIF($C$11:$AX$11,"work")*0.5</f>
        <v>0</v>
      </c>
      <c r="BL10" s="37">
        <f>COUNTIF($C$11:$AX$11,"Meditation")*0.5</f>
        <v>0</v>
      </c>
      <c r="BM10" s="37">
        <f>COUNTIF($C$11:$AX$11,"Setar")*0.5</f>
        <v>0</v>
      </c>
      <c r="BN10" s="37">
        <f>COUNTIF($C$11:$AX$11,"Personal Tasks")*0.5</f>
        <v>0</v>
      </c>
      <c r="BO10" s="37">
        <f>COUNTIF($C$11:$AX$11,"Wasted Time")*0.5</f>
        <v>0</v>
      </c>
      <c r="BP10" s="37">
        <f>COUNTIF($C$11:$AX$11,"Sleep")*0.5</f>
        <v>0</v>
      </c>
      <c r="BQ10" s="38">
        <f t="shared" si="1"/>
        <v>0</v>
      </c>
      <c r="BR10" s="17"/>
    </row>
    <row r="11" ht="27.0" customHeight="1">
      <c r="A11" s="17"/>
      <c r="B11" s="39" t="str">
        <f>"Saturday"&amp;CHAR(10)&amp;TEXT(MONTH_START+26,"d mmm")</f>
        <v>Saturday
12 Sep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17"/>
      <c r="AZ11" s="34" t="b">
        <v>0</v>
      </c>
      <c r="BA11" s="35"/>
      <c r="BB11" s="35"/>
      <c r="BC11" s="17"/>
      <c r="BD11" s="36" t="s">
        <v>71</v>
      </c>
      <c r="BE11" s="37">
        <f>COUNTIF($C$12:$AX$12,"codding")*0.5</f>
        <v>0</v>
      </c>
      <c r="BF11" s="37">
        <f>COUNTIF($C$12:$AX$12,"learn-prog")*0.5</f>
        <v>0</v>
      </c>
      <c r="BG11" s="37">
        <f>COUNTIF($C$12:$AX$12,"En-book")*0.5</f>
        <v>0</v>
      </c>
      <c r="BH11" s="37">
        <f>COUNTIF($C$12:$AX$12,"En-listening")*0.5</f>
        <v>0</v>
      </c>
      <c r="BI11" s="37">
        <f>COUNTIF($C$12:$AX$12,"Run")*0.5</f>
        <v>0</v>
      </c>
      <c r="BJ11" s="37">
        <f>COUNTIF($C$12:$AX$12,"Gym")*0.5</f>
        <v>0</v>
      </c>
      <c r="BK11" s="37">
        <f>COUNTIF($C$12:$AX$12,"work")*0.5</f>
        <v>0</v>
      </c>
      <c r="BL11" s="37">
        <f>COUNTIF($C$12:$AX$12,"Meditation")*0.5</f>
        <v>0</v>
      </c>
      <c r="BM11" s="37">
        <f>COUNTIF($C$12:$AX$12,"Setar")*0.5</f>
        <v>0</v>
      </c>
      <c r="BN11" s="37">
        <f>COUNTIF($C$12:$AX$12,"Personal Tasks")*0.5</f>
        <v>0</v>
      </c>
      <c r="BO11" s="37">
        <f>COUNTIF($C$12:$AX$12,"Wasted Time")*0.5</f>
        <v>0</v>
      </c>
      <c r="BP11" s="37">
        <f>COUNTIF($C$12:$AX$12,"Sleep")*0.5</f>
        <v>0</v>
      </c>
      <c r="BQ11" s="38">
        <f t="shared" si="1"/>
        <v>0</v>
      </c>
      <c r="BR11" s="17"/>
    </row>
    <row r="12" ht="27.0" customHeight="1">
      <c r="A12" s="17"/>
      <c r="B12" s="39" t="str">
        <f>"Sunday"&amp;CHAR(10)&amp;TEXT(MONTH_START+27,"d mmm")</f>
        <v>Sunday
13 Sep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17"/>
      <c r="AZ12" s="34" t="b">
        <v>0</v>
      </c>
      <c r="BA12" s="35"/>
      <c r="BB12" s="35"/>
      <c r="BC12" s="17"/>
      <c r="BD12" s="43" t="s">
        <v>72</v>
      </c>
      <c r="BE12" s="44">
        <f t="shared" ref="BE12:BQ12" si="2">SUM(BE5:BE11)</f>
        <v>0</v>
      </c>
      <c r="BF12" s="44">
        <f t="shared" si="2"/>
        <v>0</v>
      </c>
      <c r="BG12" s="44">
        <f t="shared" si="2"/>
        <v>0</v>
      </c>
      <c r="BH12" s="44">
        <f t="shared" si="2"/>
        <v>0</v>
      </c>
      <c r="BI12" s="44">
        <f t="shared" si="2"/>
        <v>0</v>
      </c>
      <c r="BJ12" s="44">
        <f t="shared" si="2"/>
        <v>0</v>
      </c>
      <c r="BK12" s="44">
        <f t="shared" si="2"/>
        <v>0</v>
      </c>
      <c r="BL12" s="44">
        <f t="shared" si="2"/>
        <v>0</v>
      </c>
      <c r="BM12" s="44">
        <f t="shared" si="2"/>
        <v>0</v>
      </c>
      <c r="BN12" s="44">
        <f t="shared" si="2"/>
        <v>0</v>
      </c>
      <c r="BO12" s="44">
        <f t="shared" si="2"/>
        <v>0</v>
      </c>
      <c r="BP12" s="44">
        <f t="shared" si="2"/>
        <v>0</v>
      </c>
      <c r="BQ12" s="44">
        <f t="shared" si="2"/>
        <v>0</v>
      </c>
      <c r="BR12" s="17"/>
    </row>
    <row r="13" ht="18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34" t="b">
        <v>0</v>
      </c>
      <c r="BA13" s="35"/>
      <c r="BB13" s="35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</row>
    <row r="14" ht="22.5" customHeight="1">
      <c r="A14" s="17"/>
      <c r="B14" s="45" t="s">
        <v>73</v>
      </c>
      <c r="C14" s="46" t="s">
        <v>47</v>
      </c>
      <c r="G14" s="47" t="s">
        <v>49</v>
      </c>
      <c r="K14" s="48" t="s">
        <v>50</v>
      </c>
      <c r="O14" s="49" t="s">
        <v>51</v>
      </c>
      <c r="S14" s="50" t="s">
        <v>52</v>
      </c>
      <c r="W14" s="51" t="s">
        <v>53</v>
      </c>
      <c r="AA14" s="52" t="s">
        <v>54</v>
      </c>
      <c r="AE14" s="53" t="s">
        <v>55</v>
      </c>
      <c r="AI14" s="54" t="s">
        <v>56</v>
      </c>
      <c r="AM14" s="55" t="s">
        <v>57</v>
      </c>
      <c r="AQ14" s="56" t="s">
        <v>58</v>
      </c>
      <c r="AU14" s="57" t="s">
        <v>59</v>
      </c>
      <c r="AY14" s="17"/>
      <c r="AZ14" s="29" t="s">
        <v>74</v>
      </c>
      <c r="BA14" s="30"/>
      <c r="BB14" s="25"/>
      <c r="BC14" s="17"/>
      <c r="BD14" s="58" t="s">
        <v>75</v>
      </c>
      <c r="BR14" s="17"/>
    </row>
    <row r="15" ht="18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34" t="b">
        <v>0</v>
      </c>
      <c r="BA15" s="35"/>
      <c r="BB15" s="35"/>
      <c r="BC15" s="17"/>
      <c r="BD15" s="59" t="s">
        <v>76</v>
      </c>
      <c r="BH15" s="17"/>
      <c r="BI15" s="59" t="s">
        <v>77</v>
      </c>
      <c r="BL15" s="17"/>
      <c r="BM15" s="59" t="s">
        <v>78</v>
      </c>
      <c r="BQ15" s="17"/>
      <c r="BR15" s="17"/>
    </row>
    <row r="16" ht="22.5" customHeight="1">
      <c r="A16" s="17"/>
      <c r="B16" s="58" t="s">
        <v>79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34" t="b">
        <v>0</v>
      </c>
      <c r="BA16" s="35"/>
      <c r="BB16" s="35"/>
      <c r="BC16" s="17"/>
      <c r="BD16" s="60" t="str">
        <f t="array" ref="BD16">IF(AND(TODAY()&gt;=MONTH_START+21,TODAY()&lt;=MONTH_START+27),INDEX($BE$20:$BE$26,TODAY()-(MONTH_START+21)+1),"—")</f>
        <v>—</v>
      </c>
      <c r="BH16" s="17"/>
      <c r="BI16" s="60">
        <f>$BE$27</f>
        <v>0</v>
      </c>
      <c r="BL16" s="17"/>
      <c r="BM16" s="60">
        <f>$BE$28</f>
        <v>0</v>
      </c>
      <c r="BQ16" s="17"/>
      <c r="BR16" s="17"/>
    </row>
    <row r="17">
      <c r="A17" s="17"/>
      <c r="B17" s="61" t="s">
        <v>0</v>
      </c>
      <c r="C17" s="30"/>
      <c r="D17" s="30"/>
      <c r="E17" s="25"/>
      <c r="F17" s="61" t="s">
        <v>80</v>
      </c>
      <c r="G17" s="30"/>
      <c r="H17" s="25"/>
      <c r="I17" s="61" t="s">
        <v>81</v>
      </c>
      <c r="J17" s="30"/>
      <c r="K17" s="25"/>
      <c r="L17" s="61" t="s">
        <v>82</v>
      </c>
      <c r="M17" s="30"/>
      <c r="N17" s="30"/>
      <c r="O17" s="30"/>
      <c r="P17" s="30"/>
      <c r="Q17" s="30"/>
      <c r="R17" s="25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34" t="b">
        <v>0</v>
      </c>
      <c r="BA17" s="35"/>
      <c r="BB17" s="35"/>
      <c r="BC17" s="17"/>
      <c r="BH17" s="17"/>
      <c r="BL17" s="17"/>
      <c r="BQ17" s="17"/>
      <c r="BR17" s="17"/>
    </row>
    <row r="18" ht="18.0" customHeight="1">
      <c r="A18" s="17"/>
      <c r="B18" s="62" t="s">
        <v>47</v>
      </c>
      <c r="C18" s="30"/>
      <c r="D18" s="30"/>
      <c r="E18" s="25"/>
      <c r="F18" s="63">
        <f>COUNTIF($C$6:$AX$12,"codding")*0.5</f>
        <v>0</v>
      </c>
      <c r="G18" s="30"/>
      <c r="H18" s="25"/>
      <c r="I18" s="64">
        <f>$F$18/168</f>
        <v>0</v>
      </c>
      <c r="J18" s="30"/>
      <c r="K18" s="25"/>
      <c r="L18" s="65" t="str">
        <f>IFERROR(__xludf.DUMMYFUNCTION("IFERROR(SPARKLINE($F$18,{""charttype"",""bar"";""max"",MAX($F$18:$F$29)+0.0001;""color1"",""#057c31""}),"""")"),"")</f>
        <v/>
      </c>
      <c r="M18" s="30"/>
      <c r="N18" s="30"/>
      <c r="O18" s="30"/>
      <c r="P18" s="30"/>
      <c r="Q18" s="30"/>
      <c r="R18" s="25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34" t="b">
        <v>0</v>
      </c>
      <c r="BA18" s="35"/>
      <c r="BB18" s="35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</row>
    <row r="19" ht="18.0" customHeight="1">
      <c r="A19" s="17"/>
      <c r="B19" s="62" t="s">
        <v>49</v>
      </c>
      <c r="C19" s="30"/>
      <c r="D19" s="30"/>
      <c r="E19" s="25"/>
      <c r="F19" s="63">
        <f>COUNTIF($C$6:$AX$12,"learn-prog")*0.5</f>
        <v>0</v>
      </c>
      <c r="G19" s="30"/>
      <c r="H19" s="25"/>
      <c r="I19" s="64">
        <f>$F$19/168</f>
        <v>0</v>
      </c>
      <c r="J19" s="30"/>
      <c r="K19" s="25"/>
      <c r="L19" s="65" t="str">
        <f>IFERROR(__xludf.DUMMYFUNCTION("IFERROR(SPARKLINE($F$19,{""charttype"",""bar"";""max"",MAX($F$18:$F$29)+0.0001;""color1"",""#86EFAC""}),"""")"),"")</f>
        <v/>
      </c>
      <c r="M19" s="30"/>
      <c r="N19" s="30"/>
      <c r="O19" s="30"/>
      <c r="P19" s="30"/>
      <c r="Q19" s="30"/>
      <c r="R19" s="25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29" t="s">
        <v>83</v>
      </c>
      <c r="BA19" s="30"/>
      <c r="BB19" s="25"/>
      <c r="BC19" s="17"/>
      <c r="BD19" s="66" t="s">
        <v>46</v>
      </c>
      <c r="BE19" s="66" t="s">
        <v>84</v>
      </c>
      <c r="BF19" s="67" t="s">
        <v>85</v>
      </c>
      <c r="BG19" s="30"/>
      <c r="BH19" s="25"/>
      <c r="BI19" s="17"/>
      <c r="BJ19" s="17"/>
      <c r="BK19" s="17"/>
      <c r="BL19" s="17"/>
      <c r="BM19" s="17"/>
      <c r="BN19" s="17"/>
      <c r="BO19" s="17"/>
      <c r="BP19" s="17"/>
      <c r="BQ19" s="17"/>
      <c r="BR19" s="17"/>
    </row>
    <row r="20" ht="18.0" customHeight="1">
      <c r="A20" s="17"/>
      <c r="B20" s="62" t="s">
        <v>50</v>
      </c>
      <c r="C20" s="30"/>
      <c r="D20" s="30"/>
      <c r="E20" s="25"/>
      <c r="F20" s="63">
        <f>COUNTIF($C$6:$AX$12,"En-book")*0.5</f>
        <v>0</v>
      </c>
      <c r="G20" s="30"/>
      <c r="H20" s="25"/>
      <c r="I20" s="64">
        <f>$F$20/168</f>
        <v>0</v>
      </c>
      <c r="J20" s="30"/>
      <c r="K20" s="25"/>
      <c r="L20" s="65" t="str">
        <f>IFERROR(__xludf.DUMMYFUNCTION("IFERROR(SPARKLINE($F$20,{""charttype"",""bar"";""max"",MAX($F$18:$F$29)+0.0001;""color1"",""#2563EB""}),"""")"),"")</f>
        <v/>
      </c>
      <c r="M20" s="30"/>
      <c r="N20" s="30"/>
      <c r="O20" s="30"/>
      <c r="P20" s="30"/>
      <c r="Q20" s="30"/>
      <c r="R20" s="25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34" t="b">
        <v>0</v>
      </c>
      <c r="BA20" s="35"/>
      <c r="BB20" s="35"/>
      <c r="BC20" s="17"/>
      <c r="BD20" s="36" t="s">
        <v>62</v>
      </c>
      <c r="BE20" s="38">
        <f t="shared" ref="BE20:BE26" si="3">SUM(BE5:BK5)</f>
        <v>0</v>
      </c>
      <c r="BF20" s="65" t="str">
        <f>IFERROR(__xludf.DUMMYFUNCTION("IFERROR(SPARKLINE($BE20,{""charttype"",""bar"";""max"",MAX($BE$20:$BE$26)+0.0001;""color1"",""#0D9488""}),"""")"),"")</f>
        <v/>
      </c>
      <c r="BG20" s="30"/>
      <c r="BH20" s="25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 ht="18.0" customHeight="1">
      <c r="A21" s="17"/>
      <c r="B21" s="62" t="s">
        <v>51</v>
      </c>
      <c r="C21" s="30"/>
      <c r="D21" s="30"/>
      <c r="E21" s="25"/>
      <c r="F21" s="63">
        <f>COUNTIF($C$6:$AX$12,"En-listening")*0.5</f>
        <v>0</v>
      </c>
      <c r="G21" s="30"/>
      <c r="H21" s="25"/>
      <c r="I21" s="64">
        <f>$F$21/168</f>
        <v>0</v>
      </c>
      <c r="J21" s="30"/>
      <c r="K21" s="25"/>
      <c r="L21" s="65" t="str">
        <f>IFERROR(__xludf.DUMMYFUNCTION("IFERROR(SPARKLINE($F$21,{""charttype"",""bar"";""max"",MAX($F$18:$F$29)+0.0001;""color1"",""#93C5FD""}),"""")"),"")</f>
        <v/>
      </c>
      <c r="M21" s="30"/>
      <c r="N21" s="30"/>
      <c r="O21" s="30"/>
      <c r="P21" s="30"/>
      <c r="Q21" s="30"/>
      <c r="R21" s="25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34" t="b">
        <v>0</v>
      </c>
      <c r="BA21" s="35"/>
      <c r="BB21" s="35"/>
      <c r="BC21" s="17"/>
      <c r="BD21" s="36" t="s">
        <v>65</v>
      </c>
      <c r="BE21" s="38">
        <f t="shared" si="3"/>
        <v>0</v>
      </c>
      <c r="BF21" s="65" t="str">
        <f>IFERROR(__xludf.DUMMYFUNCTION("IFERROR(SPARKLINE($BE21,{""charttype"",""bar"";""max"",MAX($BE$20:$BE$26)+0.0001;""color1"",""#0D9488""}),"""")"),"")</f>
        <v/>
      </c>
      <c r="BG21" s="30"/>
      <c r="BH21" s="25"/>
      <c r="BI21" s="17"/>
      <c r="BJ21" s="17"/>
      <c r="BK21" s="17"/>
      <c r="BL21" s="17"/>
      <c r="BM21" s="17"/>
      <c r="BN21" s="17"/>
      <c r="BO21" s="17"/>
      <c r="BP21" s="17"/>
      <c r="BQ21" s="17"/>
      <c r="BR21" s="17"/>
    </row>
    <row r="22" ht="18.0" customHeight="1">
      <c r="A22" s="17"/>
      <c r="B22" s="62" t="s">
        <v>52</v>
      </c>
      <c r="C22" s="30"/>
      <c r="D22" s="30"/>
      <c r="E22" s="25"/>
      <c r="F22" s="63">
        <f>COUNTIF($C$6:$AX$12,"Run")*0.5</f>
        <v>0</v>
      </c>
      <c r="G22" s="30"/>
      <c r="H22" s="25"/>
      <c r="I22" s="64">
        <f>$F$22/168</f>
        <v>0</v>
      </c>
      <c r="J22" s="30"/>
      <c r="K22" s="25"/>
      <c r="L22" s="65" t="str">
        <f>IFERROR(__xludf.DUMMYFUNCTION("IFERROR(SPARKLINE($F$22,{""charttype"",""bar"";""max"",MAX($F$18:$F$29)+0.0001;""color1"",""#EA580C""}),"""")"),"")</f>
        <v/>
      </c>
      <c r="M22" s="30"/>
      <c r="N22" s="30"/>
      <c r="O22" s="30"/>
      <c r="P22" s="30"/>
      <c r="Q22" s="30"/>
      <c r="R22" s="25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34" t="b">
        <v>0</v>
      </c>
      <c r="BA22" s="35"/>
      <c r="BB22" s="35"/>
      <c r="BC22" s="17"/>
      <c r="BD22" s="36" t="s">
        <v>66</v>
      </c>
      <c r="BE22" s="38">
        <f t="shared" si="3"/>
        <v>0</v>
      </c>
      <c r="BF22" s="65" t="str">
        <f>IFERROR(__xludf.DUMMYFUNCTION("IFERROR(SPARKLINE($BE22,{""charttype"",""bar"";""max"",MAX($BE$20:$BE$26)+0.0001;""color1"",""#0D9488""}),"""")"),"")</f>
        <v/>
      </c>
      <c r="BG22" s="30"/>
      <c r="BH22" s="25"/>
      <c r="BI22" s="17"/>
      <c r="BJ22" s="17"/>
      <c r="BK22" s="17"/>
      <c r="BL22" s="17"/>
      <c r="BM22" s="17"/>
      <c r="BN22" s="17"/>
      <c r="BO22" s="17"/>
      <c r="BP22" s="17"/>
      <c r="BQ22" s="17"/>
      <c r="BR22" s="17"/>
    </row>
    <row r="23" ht="18.0" customHeight="1">
      <c r="A23" s="17"/>
      <c r="B23" s="62" t="s">
        <v>53</v>
      </c>
      <c r="C23" s="30"/>
      <c r="D23" s="30"/>
      <c r="E23" s="25"/>
      <c r="F23" s="63">
        <f>COUNTIF($C$6:$AX$12,"Gym")*0.5</f>
        <v>0</v>
      </c>
      <c r="G23" s="30"/>
      <c r="H23" s="25"/>
      <c r="I23" s="64">
        <f>$F$23/168</f>
        <v>0</v>
      </c>
      <c r="J23" s="30"/>
      <c r="K23" s="25"/>
      <c r="L23" s="65" t="str">
        <f>IFERROR(__xludf.DUMMYFUNCTION("IFERROR(SPARKLINE($F$23,{""charttype"",""bar"";""max"",MAX($F$18:$F$29)+0.0001;""color1"",""#FDBA74""}),"""")"),"")</f>
        <v/>
      </c>
      <c r="M23" s="30"/>
      <c r="N23" s="30"/>
      <c r="O23" s="30"/>
      <c r="P23" s="30"/>
      <c r="Q23" s="30"/>
      <c r="R23" s="25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34" t="b">
        <v>0</v>
      </c>
      <c r="BA23" s="35"/>
      <c r="BB23" s="35"/>
      <c r="BC23" s="17"/>
      <c r="BD23" s="36" t="s">
        <v>67</v>
      </c>
      <c r="BE23" s="38">
        <f t="shared" si="3"/>
        <v>0</v>
      </c>
      <c r="BF23" s="65" t="str">
        <f>IFERROR(__xludf.DUMMYFUNCTION("IFERROR(SPARKLINE($BE23,{""charttype"",""bar"";""max"",MAX($BE$20:$BE$26)+0.0001;""color1"",""#0D9488""}),"""")"),"")</f>
        <v/>
      </c>
      <c r="BG23" s="30"/>
      <c r="BH23" s="25"/>
      <c r="BI23" s="17"/>
      <c r="BJ23" s="17"/>
      <c r="BK23" s="17"/>
      <c r="BL23" s="17"/>
      <c r="BM23" s="17"/>
      <c r="BN23" s="17"/>
      <c r="BO23" s="17"/>
      <c r="BP23" s="17"/>
      <c r="BQ23" s="17"/>
      <c r="BR23" s="17"/>
    </row>
    <row r="24" ht="18.0" customHeight="1">
      <c r="A24" s="17"/>
      <c r="B24" s="62" t="s">
        <v>54</v>
      </c>
      <c r="C24" s="30"/>
      <c r="D24" s="30"/>
      <c r="E24" s="25"/>
      <c r="F24" s="63">
        <f>COUNTIF($C$6:$AX$12,"work")*0.5</f>
        <v>0</v>
      </c>
      <c r="G24" s="30"/>
      <c r="H24" s="25"/>
      <c r="I24" s="64">
        <f>$F$24/168</f>
        <v>0</v>
      </c>
      <c r="J24" s="30"/>
      <c r="K24" s="25"/>
      <c r="L24" s="65" t="str">
        <f>IFERROR(__xludf.DUMMYFUNCTION("IFERROR(SPARKLINE($F$24,{""charttype"",""bar"";""max"",MAX($F$18:$F$29)+0.0001;""color1"",""#89fd05""}),"""")"),"")</f>
        <v/>
      </c>
      <c r="M24" s="30"/>
      <c r="N24" s="30"/>
      <c r="O24" s="30"/>
      <c r="P24" s="30"/>
      <c r="Q24" s="30"/>
      <c r="R24" s="25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8" t="s">
        <v>86</v>
      </c>
      <c r="BA24" s="30"/>
      <c r="BB24" s="25"/>
      <c r="BC24" s="17"/>
      <c r="BD24" s="41" t="s">
        <v>69</v>
      </c>
      <c r="BE24" s="38">
        <f t="shared" si="3"/>
        <v>0</v>
      </c>
      <c r="BF24" s="65" t="str">
        <f>IFERROR(__xludf.DUMMYFUNCTION("IFERROR(SPARKLINE($BE24,{""charttype"",""bar"";""max"",MAX($BE$20:$BE$26)+0.0001;""color1"",""#0D9488""}),"""")"),"")</f>
        <v/>
      </c>
      <c r="BG24" s="30"/>
      <c r="BH24" s="25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ht="18.0" customHeight="1">
      <c r="A25" s="17"/>
      <c r="B25" s="62" t="s">
        <v>55</v>
      </c>
      <c r="C25" s="30"/>
      <c r="D25" s="30"/>
      <c r="E25" s="25"/>
      <c r="F25" s="63">
        <f>COUNTIF($C$6:$AX$12,"Meditation")*0.5</f>
        <v>0</v>
      </c>
      <c r="G25" s="30"/>
      <c r="H25" s="25"/>
      <c r="I25" s="64">
        <f>$F$25/168</f>
        <v>0</v>
      </c>
      <c r="J25" s="30"/>
      <c r="K25" s="25"/>
      <c r="L25" s="65" t="str">
        <f>IFERROR(__xludf.DUMMYFUNCTION("IFERROR(SPARKLINE($F$25,{""charttype"",""bar"";""max"",MAX($F$18:$F$29)+0.0001;""color1"",""#8e029b""}),"""")"),"")</f>
        <v/>
      </c>
      <c r="M25" s="30"/>
      <c r="N25" s="30"/>
      <c r="O25" s="30"/>
      <c r="P25" s="30"/>
      <c r="Q25" s="30"/>
      <c r="R25" s="25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34" t="b">
        <v>0</v>
      </c>
      <c r="BA25" s="35"/>
      <c r="BB25" s="35"/>
      <c r="BC25" s="17"/>
      <c r="BD25" s="36" t="s">
        <v>70</v>
      </c>
      <c r="BE25" s="38">
        <f t="shared" si="3"/>
        <v>0</v>
      </c>
      <c r="BF25" s="65" t="str">
        <f>IFERROR(__xludf.DUMMYFUNCTION("IFERROR(SPARKLINE($BE25,{""charttype"",""bar"";""max"",MAX($BE$20:$BE$26)+0.0001;""color1"",""#0D9488""}),"""")"),"")</f>
        <v/>
      </c>
      <c r="BG25" s="30"/>
      <c r="BH25" s="25"/>
      <c r="BI25" s="17"/>
      <c r="BJ25" s="17"/>
      <c r="BK25" s="17"/>
      <c r="BL25" s="17"/>
      <c r="BM25" s="17"/>
      <c r="BN25" s="17"/>
      <c r="BO25" s="17"/>
      <c r="BP25" s="17"/>
      <c r="BQ25" s="17"/>
      <c r="BR25" s="17"/>
    </row>
    <row r="26" ht="18.0" customHeight="1">
      <c r="A26" s="17"/>
      <c r="B26" s="62" t="s">
        <v>56</v>
      </c>
      <c r="C26" s="30"/>
      <c r="D26" s="30"/>
      <c r="E26" s="25"/>
      <c r="F26" s="63">
        <f>COUNTIF($C$6:$AX$12,"Setar")*0.5</f>
        <v>0</v>
      </c>
      <c r="G26" s="30"/>
      <c r="H26" s="25"/>
      <c r="I26" s="64">
        <f>$F$26/168</f>
        <v>0</v>
      </c>
      <c r="J26" s="30"/>
      <c r="K26" s="25"/>
      <c r="L26" s="65" t="str">
        <f>IFERROR(__xludf.DUMMYFUNCTION("IFERROR(SPARKLINE($F$26,{""charttype"",""bar"";""max"",MAX($F$18:$F$29)+0.0001;""color1"",""#da87de""}),"""")"),"")</f>
        <v/>
      </c>
      <c r="M26" s="30"/>
      <c r="N26" s="30"/>
      <c r="O26" s="30"/>
      <c r="P26" s="30"/>
      <c r="Q26" s="30"/>
      <c r="R26" s="25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34" t="b">
        <v>0</v>
      </c>
      <c r="BA26" s="35"/>
      <c r="BB26" s="35"/>
      <c r="BC26" s="17"/>
      <c r="BD26" s="36" t="s">
        <v>71</v>
      </c>
      <c r="BE26" s="38">
        <f t="shared" si="3"/>
        <v>0</v>
      </c>
      <c r="BF26" s="65" t="str">
        <f>IFERROR(__xludf.DUMMYFUNCTION("IFERROR(SPARKLINE($BE26,{""charttype"",""bar"";""max"",MAX($BE$20:$BE$26)+0.0001;""color1"",""#0D9488""}),"""")"),"")</f>
        <v/>
      </c>
      <c r="BG26" s="30"/>
      <c r="BH26" s="25"/>
      <c r="BI26" s="17"/>
      <c r="BJ26" s="17"/>
      <c r="BK26" s="17"/>
      <c r="BL26" s="17"/>
      <c r="BM26" s="17"/>
      <c r="BN26" s="17"/>
      <c r="BO26" s="17"/>
      <c r="BP26" s="17"/>
      <c r="BQ26" s="17"/>
      <c r="BR26" s="17"/>
    </row>
    <row r="27" ht="18.0" customHeight="1">
      <c r="A27" s="17"/>
      <c r="B27" s="62" t="s">
        <v>57</v>
      </c>
      <c r="C27" s="30"/>
      <c r="D27" s="30"/>
      <c r="E27" s="25"/>
      <c r="F27" s="63">
        <f>COUNTIF($C$6:$AX$12,"Personal Tasks")*0.5</f>
        <v>0</v>
      </c>
      <c r="G27" s="30"/>
      <c r="H27" s="25"/>
      <c r="I27" s="64">
        <f>$F$27/168</f>
        <v>0</v>
      </c>
      <c r="J27" s="30"/>
      <c r="K27" s="25"/>
      <c r="L27" s="65" t="str">
        <f>IFERROR(__xludf.DUMMYFUNCTION("IFERROR(SPARKLINE($F$27,{""charttype"",""bar"";""max"",MAX($F$18:$F$29)+0.0001;""color1"",""#eeeeee""}),"""")"),"")</f>
        <v/>
      </c>
      <c r="M27" s="30"/>
      <c r="N27" s="30"/>
      <c r="O27" s="30"/>
      <c r="P27" s="30"/>
      <c r="Q27" s="30"/>
      <c r="R27" s="25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34" t="b">
        <v>0</v>
      </c>
      <c r="BA27" s="35"/>
      <c r="BB27" s="35"/>
      <c r="BC27" s="17"/>
      <c r="BD27" s="43" t="s">
        <v>72</v>
      </c>
      <c r="BE27" s="44">
        <f>SUM(BE20:BE26)</f>
        <v>0</v>
      </c>
      <c r="BF27" s="69"/>
      <c r="BG27" s="30"/>
      <c r="BH27" s="25"/>
      <c r="BI27" s="17"/>
      <c r="BJ27" s="17"/>
      <c r="BK27" s="17"/>
      <c r="BL27" s="17"/>
      <c r="BM27" s="17"/>
      <c r="BN27" s="17"/>
      <c r="BO27" s="17"/>
      <c r="BP27" s="17"/>
      <c r="BQ27" s="17"/>
      <c r="BR27" s="17"/>
    </row>
    <row r="28" ht="18.0" customHeight="1">
      <c r="A28" s="17"/>
      <c r="B28" s="62" t="s">
        <v>58</v>
      </c>
      <c r="C28" s="30"/>
      <c r="D28" s="30"/>
      <c r="E28" s="25"/>
      <c r="F28" s="63">
        <f>COUNTIF($C$6:$AX$12,"Wasted Time")*0.5</f>
        <v>0</v>
      </c>
      <c r="G28" s="30"/>
      <c r="H28" s="25"/>
      <c r="I28" s="64">
        <f>$F$28/168</f>
        <v>0</v>
      </c>
      <c r="J28" s="30"/>
      <c r="K28" s="25"/>
      <c r="L28" s="65" t="str">
        <f>IFERROR(__xludf.DUMMYFUNCTION("IFERROR(SPARKLINE($F$28,{""charttype"",""bar"";""max"",MAX($F$18:$F$29)+0.0001;""color1"",""#ff1500""}),"""")"),"")</f>
        <v/>
      </c>
      <c r="M28" s="30"/>
      <c r="N28" s="30"/>
      <c r="O28" s="30"/>
      <c r="P28" s="30"/>
      <c r="Q28" s="30"/>
      <c r="R28" s="25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34" t="b">
        <v>0</v>
      </c>
      <c r="BA28" s="35"/>
      <c r="BB28" s="35"/>
      <c r="BC28" s="17"/>
      <c r="BD28" s="70" t="s">
        <v>87</v>
      </c>
      <c r="BE28" s="71">
        <f>BE27/7</f>
        <v>0</v>
      </c>
      <c r="BF28" s="72"/>
      <c r="BG28" s="30"/>
      <c r="BH28" s="25"/>
      <c r="BI28" s="17"/>
      <c r="BJ28" s="17"/>
      <c r="BK28" s="17"/>
      <c r="BL28" s="17"/>
      <c r="BM28" s="17"/>
      <c r="BN28" s="17"/>
      <c r="BO28" s="17"/>
      <c r="BP28" s="17"/>
      <c r="BQ28" s="17"/>
      <c r="BR28" s="17"/>
    </row>
    <row r="29" ht="18.0" customHeight="1">
      <c r="A29" s="17"/>
      <c r="B29" s="62" t="s">
        <v>59</v>
      </c>
      <c r="C29" s="30"/>
      <c r="D29" s="30"/>
      <c r="E29" s="25"/>
      <c r="F29" s="63">
        <f>COUNTIF($C$6:$AX$12,"Sleep")*0.5</f>
        <v>0</v>
      </c>
      <c r="G29" s="30"/>
      <c r="H29" s="25"/>
      <c r="I29" s="64">
        <f>$F$29/168</f>
        <v>0</v>
      </c>
      <c r="J29" s="30"/>
      <c r="K29" s="25"/>
      <c r="L29" s="65" t="str">
        <f>IFERROR(__xludf.DUMMYFUNCTION("IFERROR(SPARKLINE($F$29,{""charttype"",""bar"";""max"",MAX($F$18:$F$29)+0.0001;""color1"",""#4e4d44""}),"""")"),"")</f>
        <v/>
      </c>
      <c r="M29" s="30"/>
      <c r="N29" s="30"/>
      <c r="O29" s="30"/>
      <c r="P29" s="30"/>
      <c r="Q29" s="30"/>
      <c r="R29" s="25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29" t="s">
        <v>88</v>
      </c>
      <c r="BA29" s="30"/>
      <c r="BB29" s="25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</row>
    <row r="30" ht="22.5" customHeight="1">
      <c r="A30" s="17"/>
      <c r="B30" s="73" t="s">
        <v>89</v>
      </c>
      <c r="C30" s="30"/>
      <c r="D30" s="30"/>
      <c r="E30" s="25"/>
      <c r="F30" s="74">
        <f>SUM($F$18:$F$29)</f>
        <v>0</v>
      </c>
      <c r="G30" s="30"/>
      <c r="H30" s="25"/>
      <c r="I30" s="75">
        <f>$F$30/168</f>
        <v>0</v>
      </c>
      <c r="J30" s="30"/>
      <c r="K30" s="25"/>
      <c r="L30" s="69"/>
      <c r="M30" s="30"/>
      <c r="N30" s="30"/>
      <c r="O30" s="30"/>
      <c r="P30" s="30"/>
      <c r="Q30" s="30"/>
      <c r="R30" s="25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34" t="b">
        <v>0</v>
      </c>
      <c r="BA30" s="35"/>
      <c r="BB30" s="35"/>
      <c r="BC30" s="17"/>
      <c r="BD30" s="58" t="s">
        <v>90</v>
      </c>
      <c r="BM30" s="17"/>
      <c r="BN30" s="17"/>
      <c r="BO30" s="17"/>
      <c r="BP30" s="17"/>
      <c r="BQ30" s="17"/>
      <c r="BR30" s="17"/>
    </row>
    <row r="31" ht="18.0" customHeight="1">
      <c r="A31" s="17"/>
      <c r="B31" s="76" t="s">
        <v>91</v>
      </c>
      <c r="C31" s="30"/>
      <c r="D31" s="30"/>
      <c r="E31" s="25"/>
      <c r="F31" s="77">
        <f>168-$F$30</f>
        <v>168</v>
      </c>
      <c r="G31" s="30"/>
      <c r="H31" s="25"/>
      <c r="I31" s="64">
        <f>$F$31/168</f>
        <v>1</v>
      </c>
      <c r="J31" s="30"/>
      <c r="K31" s="25"/>
      <c r="L31" s="72"/>
      <c r="M31" s="30"/>
      <c r="N31" s="30"/>
      <c r="O31" s="30"/>
      <c r="P31" s="30"/>
      <c r="Q31" s="30"/>
      <c r="R31" s="25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34" t="b">
        <v>0</v>
      </c>
      <c r="BA31" s="35"/>
      <c r="BB31" s="35"/>
      <c r="BC31" s="17"/>
      <c r="BD31" s="31" t="s">
        <v>92</v>
      </c>
      <c r="BE31" s="31" t="s">
        <v>62</v>
      </c>
      <c r="BF31" s="31" t="s">
        <v>65</v>
      </c>
      <c r="BG31" s="31" t="s">
        <v>66</v>
      </c>
      <c r="BH31" s="31" t="s">
        <v>67</v>
      </c>
      <c r="BI31" s="31" t="s">
        <v>69</v>
      </c>
      <c r="BJ31" s="31" t="s">
        <v>70</v>
      </c>
      <c r="BK31" s="31" t="s">
        <v>71</v>
      </c>
      <c r="BL31" s="31" t="s">
        <v>93</v>
      </c>
      <c r="BM31" s="17"/>
      <c r="BN31" s="17"/>
      <c r="BO31" s="17"/>
      <c r="BP31" s="17"/>
      <c r="BQ31" s="17"/>
      <c r="B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34" t="b">
        <v>0</v>
      </c>
      <c r="BA32" s="35"/>
      <c r="BB32" s="35"/>
      <c r="BC32" s="17"/>
      <c r="BD32" s="78" t="s">
        <v>94</v>
      </c>
      <c r="BE32" s="79"/>
      <c r="BF32" s="79"/>
      <c r="BG32" s="79"/>
      <c r="BH32" s="79"/>
      <c r="BI32" s="79"/>
      <c r="BJ32" s="79"/>
      <c r="BK32" s="79"/>
      <c r="BL32" s="80" t="str">
        <f t="shared" ref="BL32:BL38" si="4">IFERROR(AVERAGE(BE32:BK32),"—")</f>
        <v>—</v>
      </c>
      <c r="BM32" s="17"/>
      <c r="BN32" s="17"/>
      <c r="BO32" s="17"/>
      <c r="BP32" s="17"/>
      <c r="BQ32" s="17"/>
      <c r="BR32" s="17"/>
    </row>
    <row r="33" ht="22.5" customHeight="1">
      <c r="A33" s="17"/>
      <c r="B33" s="58" t="s">
        <v>95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34" t="b">
        <v>0</v>
      </c>
      <c r="BA33" s="35"/>
      <c r="BB33" s="35"/>
      <c r="BC33" s="17"/>
      <c r="BD33" s="78" t="s">
        <v>96</v>
      </c>
      <c r="BE33" s="81"/>
      <c r="BF33" s="81"/>
      <c r="BG33" s="81"/>
      <c r="BH33" s="81"/>
      <c r="BI33" s="81"/>
      <c r="BJ33" s="81"/>
      <c r="BK33" s="81"/>
      <c r="BL33" s="82" t="str">
        <f t="shared" si="4"/>
        <v>—</v>
      </c>
      <c r="BM33" s="17"/>
      <c r="BN33" s="17"/>
      <c r="BO33" s="17"/>
      <c r="BP33" s="17"/>
      <c r="BQ33" s="17"/>
      <c r="BR33" s="17"/>
    </row>
    <row r="34">
      <c r="A34" s="17"/>
      <c r="B34" s="61" t="s">
        <v>97</v>
      </c>
      <c r="C34" s="30"/>
      <c r="D34" s="30"/>
      <c r="E34" s="25"/>
      <c r="F34" s="61" t="s">
        <v>80</v>
      </c>
      <c r="G34" s="30"/>
      <c r="H34" s="25"/>
      <c r="I34" s="61" t="s">
        <v>81</v>
      </c>
      <c r="J34" s="30"/>
      <c r="K34" s="25"/>
      <c r="L34" s="61" t="s">
        <v>82</v>
      </c>
      <c r="M34" s="30"/>
      <c r="N34" s="30"/>
      <c r="O34" s="30"/>
      <c r="P34" s="30"/>
      <c r="Q34" s="30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29" t="s">
        <v>98</v>
      </c>
      <c r="BA34" s="30"/>
      <c r="BB34" s="25"/>
      <c r="BC34" s="17"/>
      <c r="BD34" s="78" t="s">
        <v>99</v>
      </c>
      <c r="BE34" s="83"/>
      <c r="BF34" s="83"/>
      <c r="BG34" s="83"/>
      <c r="BH34" s="83"/>
      <c r="BI34" s="83"/>
      <c r="BJ34" s="83"/>
      <c r="BK34" s="83"/>
      <c r="BL34" s="84" t="str">
        <f t="shared" si="4"/>
        <v>—</v>
      </c>
      <c r="BM34" s="17"/>
      <c r="BN34" s="17"/>
      <c r="BO34" s="17"/>
      <c r="BP34" s="17"/>
      <c r="BQ34" s="17"/>
      <c r="BR34" s="17"/>
    </row>
    <row r="35" ht="18.0" customHeight="1">
      <c r="A35" s="17"/>
      <c r="B35" s="62" t="s">
        <v>100</v>
      </c>
      <c r="C35" s="30"/>
      <c r="D35" s="30"/>
      <c r="E35" s="25"/>
      <c r="F35" s="63">
        <f>F18+F19</f>
        <v>0</v>
      </c>
      <c r="G35" s="30"/>
      <c r="H35" s="25"/>
      <c r="I35" s="64">
        <f>$F$35/168</f>
        <v>0</v>
      </c>
      <c r="J35" s="30"/>
      <c r="K35" s="25"/>
      <c r="L35" s="65" t="str">
        <f>IFERROR(__xludf.DUMMYFUNCTION("IFERROR(SPARKLINE($F$35,{""charttype"",""bar"";""max"",MAX($F$35:$F$42)+0.0001;""color1"",""#057c31""}),"""")"),"")</f>
        <v/>
      </c>
      <c r="M35" s="30"/>
      <c r="N35" s="30"/>
      <c r="O35" s="30"/>
      <c r="P35" s="30"/>
      <c r="Q35" s="30"/>
      <c r="R35" s="25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34" t="b">
        <v>0</v>
      </c>
      <c r="BA35" s="35"/>
      <c r="BB35" s="35"/>
      <c r="BC35" s="17"/>
      <c r="BD35" s="78" t="s">
        <v>101</v>
      </c>
      <c r="BE35" s="85"/>
      <c r="BF35" s="85"/>
      <c r="BG35" s="85"/>
      <c r="BH35" s="85"/>
      <c r="BI35" s="85"/>
      <c r="BJ35" s="85"/>
      <c r="BK35" s="85"/>
      <c r="BL35" s="86" t="str">
        <f t="shared" si="4"/>
        <v>—</v>
      </c>
      <c r="BM35" s="17"/>
      <c r="BN35" s="17"/>
      <c r="BO35" s="17"/>
      <c r="BP35" s="17"/>
      <c r="BQ35" s="17"/>
      <c r="BR35" s="17"/>
    </row>
    <row r="36" ht="18.0" customHeight="1">
      <c r="A36" s="17"/>
      <c r="B36" s="62" t="s">
        <v>102</v>
      </c>
      <c r="C36" s="30"/>
      <c r="D36" s="30"/>
      <c r="E36" s="25"/>
      <c r="F36" s="63">
        <f>F20+F21</f>
        <v>0</v>
      </c>
      <c r="G36" s="30"/>
      <c r="H36" s="25"/>
      <c r="I36" s="64">
        <f>$F$36/168</f>
        <v>0</v>
      </c>
      <c r="J36" s="30"/>
      <c r="K36" s="25"/>
      <c r="L36" s="65" t="str">
        <f>IFERROR(__xludf.DUMMYFUNCTION("IFERROR(SPARKLINE($F$36,{""charttype"",""bar"";""max"",MAX($F$35:$F$42)+0.0001;""color1"",""#2563EB""}),"""")"),"")</f>
        <v/>
      </c>
      <c r="M36" s="30"/>
      <c r="N36" s="30"/>
      <c r="O36" s="30"/>
      <c r="P36" s="30"/>
      <c r="Q36" s="30"/>
      <c r="R36" s="25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34" t="b">
        <v>0</v>
      </c>
      <c r="BA36" s="35"/>
      <c r="BB36" s="35"/>
      <c r="BC36" s="17"/>
      <c r="BD36" s="78" t="s">
        <v>103</v>
      </c>
      <c r="BE36" s="85"/>
      <c r="BF36" s="85"/>
      <c r="BG36" s="85"/>
      <c r="BH36" s="85"/>
      <c r="BI36" s="85"/>
      <c r="BJ36" s="85"/>
      <c r="BK36" s="85"/>
      <c r="BL36" s="86" t="str">
        <f t="shared" si="4"/>
        <v>—</v>
      </c>
      <c r="BM36" s="17"/>
      <c r="BN36" s="17"/>
      <c r="BO36" s="17"/>
      <c r="BP36" s="17"/>
      <c r="BQ36" s="17"/>
      <c r="BR36" s="17"/>
    </row>
    <row r="37" ht="18.0" customHeight="1">
      <c r="A37" s="17"/>
      <c r="B37" s="62" t="s">
        <v>104</v>
      </c>
      <c r="C37" s="30"/>
      <c r="D37" s="30"/>
      <c r="E37" s="25"/>
      <c r="F37" s="63">
        <f>F22+F23</f>
        <v>0</v>
      </c>
      <c r="G37" s="30"/>
      <c r="H37" s="25"/>
      <c r="I37" s="64">
        <f>$F$37/168</f>
        <v>0</v>
      </c>
      <c r="J37" s="30"/>
      <c r="K37" s="25"/>
      <c r="L37" s="65" t="str">
        <f>IFERROR(__xludf.DUMMYFUNCTION("IFERROR(SPARKLINE($F$37,{""charttype"",""bar"";""max"",MAX($F$35:$F$42)+0.0001;""color1"",""#EA580C""}),"""")"),"")</f>
        <v/>
      </c>
      <c r="M37" s="30"/>
      <c r="N37" s="30"/>
      <c r="O37" s="30"/>
      <c r="P37" s="30"/>
      <c r="Q37" s="30"/>
      <c r="R37" s="25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34" t="b">
        <v>0</v>
      </c>
      <c r="BA37" s="35"/>
      <c r="BB37" s="35"/>
      <c r="BC37" s="17"/>
      <c r="BD37" s="78" t="s">
        <v>105</v>
      </c>
      <c r="BE37" s="87"/>
      <c r="BF37" s="87"/>
      <c r="BG37" s="87"/>
      <c r="BH37" s="87"/>
      <c r="BI37" s="87"/>
      <c r="BJ37" s="87"/>
      <c r="BK37" s="87"/>
      <c r="BL37" s="88" t="str">
        <f t="shared" si="4"/>
        <v>—</v>
      </c>
      <c r="BM37" s="17"/>
      <c r="BN37" s="17"/>
      <c r="BO37" s="17"/>
      <c r="BP37" s="17"/>
      <c r="BQ37" s="17"/>
      <c r="BR37" s="17"/>
    </row>
    <row r="38" ht="18.0" customHeight="1">
      <c r="A38" s="17"/>
      <c r="B38" s="62" t="s">
        <v>106</v>
      </c>
      <c r="C38" s="30"/>
      <c r="D38" s="30"/>
      <c r="E38" s="25"/>
      <c r="F38" s="63">
        <f>F25+F26</f>
        <v>0</v>
      </c>
      <c r="G38" s="30"/>
      <c r="H38" s="25"/>
      <c r="I38" s="64">
        <f>$F$38/168</f>
        <v>0</v>
      </c>
      <c r="J38" s="30"/>
      <c r="K38" s="25"/>
      <c r="L38" s="65" t="str">
        <f>IFERROR(__xludf.DUMMYFUNCTION("IFERROR(SPARKLINE($F$38,{""charttype"",""bar"";""max"",MAX($F$35:$F$42)+0.0001;""color1"",""#8e029b""}),"""")"),"")</f>
        <v/>
      </c>
      <c r="M38" s="30"/>
      <c r="N38" s="30"/>
      <c r="O38" s="30"/>
      <c r="P38" s="30"/>
      <c r="Q38" s="30"/>
      <c r="R38" s="25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34" t="b">
        <v>0</v>
      </c>
      <c r="BA38" s="35"/>
      <c r="BB38" s="35"/>
      <c r="BC38" s="17"/>
      <c r="BD38" s="78" t="s">
        <v>107</v>
      </c>
      <c r="BE38" s="89"/>
      <c r="BF38" s="89"/>
      <c r="BG38" s="89"/>
      <c r="BH38" s="89"/>
      <c r="BI38" s="89"/>
      <c r="BJ38" s="89"/>
      <c r="BK38" s="89"/>
      <c r="BL38" s="90" t="str">
        <f t="shared" si="4"/>
        <v>—</v>
      </c>
      <c r="BM38" s="17"/>
      <c r="BN38" s="17"/>
      <c r="BO38" s="17"/>
      <c r="BP38" s="17"/>
      <c r="BQ38" s="17"/>
      <c r="BR38" s="17"/>
    </row>
    <row r="39" ht="18.0" customHeight="1">
      <c r="A39" s="17"/>
      <c r="B39" s="62" t="s">
        <v>108</v>
      </c>
      <c r="C39" s="30"/>
      <c r="D39" s="30"/>
      <c r="E39" s="25"/>
      <c r="F39" s="63">
        <f>F24</f>
        <v>0</v>
      </c>
      <c r="G39" s="30"/>
      <c r="H39" s="25"/>
      <c r="I39" s="64">
        <f>$F$39/168</f>
        <v>0</v>
      </c>
      <c r="J39" s="30"/>
      <c r="K39" s="25"/>
      <c r="L39" s="65" t="str">
        <f>IFERROR(__xludf.DUMMYFUNCTION("IFERROR(SPARKLINE($F$39,{""charttype"",""bar"";""max"",MAX($F$35:$F$42)+0.0001;""color1"",""#89fd05""}),"""")"),"")</f>
        <v/>
      </c>
      <c r="M39" s="30"/>
      <c r="N39" s="30"/>
      <c r="O39" s="30"/>
      <c r="P39" s="30"/>
      <c r="Q39" s="30"/>
      <c r="R39" s="25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</row>
    <row r="40" ht="18.0" customHeight="1">
      <c r="A40" s="17"/>
      <c r="B40" s="62" t="s">
        <v>57</v>
      </c>
      <c r="C40" s="30"/>
      <c r="D40" s="30"/>
      <c r="E40" s="25"/>
      <c r="F40" s="63">
        <f>F27</f>
        <v>0</v>
      </c>
      <c r="G40" s="30"/>
      <c r="H40" s="25"/>
      <c r="I40" s="64">
        <f>$F$40/168</f>
        <v>0</v>
      </c>
      <c r="J40" s="30"/>
      <c r="K40" s="25"/>
      <c r="L40" s="65" t="str">
        <f>IFERROR(__xludf.DUMMYFUNCTION("IFERROR(SPARKLINE($F$40,{""charttype"",""bar"";""max"",MAX($F$35:$F$42)+0.0001;""color1"",""#eeeeee""}),"""")"),"")</f>
        <v/>
      </c>
      <c r="M40" s="30"/>
      <c r="N40" s="30"/>
      <c r="O40" s="30"/>
      <c r="P40" s="30"/>
      <c r="Q40" s="30"/>
      <c r="R40" s="25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91" t="s">
        <v>109</v>
      </c>
      <c r="BE40" s="30"/>
      <c r="BF40" s="30"/>
      <c r="BG40" s="30"/>
      <c r="BH40" s="30"/>
      <c r="BI40" s="30"/>
      <c r="BJ40" s="30"/>
      <c r="BK40" s="30"/>
      <c r="BL40" s="25"/>
      <c r="BM40" s="17"/>
      <c r="BN40" s="17"/>
      <c r="BO40" s="17"/>
      <c r="BP40" s="17"/>
      <c r="BQ40" s="17"/>
      <c r="BR40" s="17"/>
    </row>
    <row r="41" ht="18.0" customHeight="1">
      <c r="A41" s="17"/>
      <c r="B41" s="62" t="s">
        <v>59</v>
      </c>
      <c r="C41" s="30"/>
      <c r="D41" s="30"/>
      <c r="E41" s="25"/>
      <c r="F41" s="63">
        <f>F29</f>
        <v>0</v>
      </c>
      <c r="G41" s="30"/>
      <c r="H41" s="25"/>
      <c r="I41" s="64">
        <f>$F$41/168</f>
        <v>0</v>
      </c>
      <c r="J41" s="30"/>
      <c r="K41" s="25"/>
      <c r="L41" s="65" t="str">
        <f>IFERROR(__xludf.DUMMYFUNCTION("IFERROR(SPARKLINE($F$41,{""charttype"",""bar"";""max"",MAX($F$35:$F$42)+0.0001;""color1"",""#4e4d44""}),"""")"),"")</f>
        <v/>
      </c>
      <c r="M41" s="30"/>
      <c r="N41" s="30"/>
      <c r="O41" s="30"/>
      <c r="P41" s="30"/>
      <c r="Q41" s="30"/>
      <c r="R41" s="25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78" t="s">
        <v>110</v>
      </c>
      <c r="BE41" s="92" t="b">
        <v>0</v>
      </c>
      <c r="BF41" s="92" t="b">
        <v>0</v>
      </c>
      <c r="BG41" s="92" t="b">
        <v>0</v>
      </c>
      <c r="BH41" s="92" t="b">
        <v>0</v>
      </c>
      <c r="BI41" s="92" t="b">
        <v>0</v>
      </c>
      <c r="BJ41" s="92" t="b">
        <v>0</v>
      </c>
      <c r="BK41" s="92" t="b">
        <v>0</v>
      </c>
      <c r="BL41" s="93" t="str">
        <f t="shared" ref="BL41:BL43" si="5">COUNTIF(BE41:BK41,TRUE)&amp;" / 7"</f>
        <v>0 / 7</v>
      </c>
      <c r="BM41" s="17"/>
      <c r="BN41" s="17"/>
      <c r="BO41" s="17"/>
      <c r="BP41" s="17"/>
      <c r="BQ41" s="17"/>
      <c r="BR41" s="17"/>
    </row>
    <row r="42" ht="18.0" customHeight="1">
      <c r="A42" s="17"/>
      <c r="B42" s="62" t="s">
        <v>58</v>
      </c>
      <c r="C42" s="30"/>
      <c r="D42" s="30"/>
      <c r="E42" s="25"/>
      <c r="F42" s="63">
        <f>F28</f>
        <v>0</v>
      </c>
      <c r="G42" s="30"/>
      <c r="H42" s="25"/>
      <c r="I42" s="64">
        <f>$F$42/168</f>
        <v>0</v>
      </c>
      <c r="J42" s="30"/>
      <c r="K42" s="25"/>
      <c r="L42" s="65" t="str">
        <f>IFERROR(__xludf.DUMMYFUNCTION("IFERROR(SPARKLINE($F$42,{""charttype"",""bar"";""max"",MAX($F$35:$F$42)+0.0001;""color1"",""#ff1500""}),"""")"),"")</f>
        <v/>
      </c>
      <c r="M42" s="30"/>
      <c r="N42" s="30"/>
      <c r="O42" s="30"/>
      <c r="P42" s="30"/>
      <c r="Q42" s="30"/>
      <c r="R42" s="25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78" t="s">
        <v>111</v>
      </c>
      <c r="BE42" s="92" t="b">
        <v>0</v>
      </c>
      <c r="BF42" s="92" t="b">
        <v>0</v>
      </c>
      <c r="BG42" s="92" t="b">
        <v>0</v>
      </c>
      <c r="BH42" s="92" t="b">
        <v>0</v>
      </c>
      <c r="BI42" s="92" t="b">
        <v>0</v>
      </c>
      <c r="BJ42" s="92" t="b">
        <v>0</v>
      </c>
      <c r="BK42" s="92" t="b">
        <v>0</v>
      </c>
      <c r="BL42" s="93" t="str">
        <f t="shared" si="5"/>
        <v>0 / 7</v>
      </c>
      <c r="BM42" s="17"/>
      <c r="BN42" s="17"/>
      <c r="BO42" s="17"/>
      <c r="BP42" s="17"/>
      <c r="BQ42" s="17"/>
      <c r="B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78" t="s">
        <v>112</v>
      </c>
      <c r="BE43" s="92" t="b">
        <v>0</v>
      </c>
      <c r="BF43" s="92" t="b">
        <v>0</v>
      </c>
      <c r="BG43" s="92" t="b">
        <v>0</v>
      </c>
      <c r="BH43" s="92" t="b">
        <v>0</v>
      </c>
      <c r="BI43" s="92" t="b">
        <v>0</v>
      </c>
      <c r="BJ43" s="92" t="b">
        <v>0</v>
      </c>
      <c r="BK43" s="92" t="b">
        <v>0</v>
      </c>
      <c r="BL43" s="93" t="str">
        <f t="shared" si="5"/>
        <v>0 / 7</v>
      </c>
      <c r="BM43" s="17"/>
      <c r="BN43" s="17"/>
      <c r="BO43" s="17"/>
      <c r="BP43" s="17"/>
      <c r="BQ43" s="17"/>
      <c r="BR43" s="17"/>
    </row>
    <row r="44" ht="22.5" customHeight="1">
      <c r="A44" s="17"/>
      <c r="B44" s="58" t="s">
        <v>113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94" t="s">
        <v>114</v>
      </c>
      <c r="BL45" s="17"/>
      <c r="BM45" s="17"/>
      <c r="BN45" s="17"/>
      <c r="BO45" s="17"/>
      <c r="BP45" s="17"/>
      <c r="BQ45" s="17"/>
      <c r="BR45" s="17"/>
    </row>
    <row r="46">
      <c r="A46" s="17"/>
      <c r="B46" s="95" t="s">
        <v>115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31" t="s">
        <v>46</v>
      </c>
      <c r="BE46" s="31" t="s">
        <v>94</v>
      </c>
      <c r="BF46" s="31" t="s">
        <v>96</v>
      </c>
      <c r="BG46" s="31" t="s">
        <v>99</v>
      </c>
      <c r="BH46" s="31" t="s">
        <v>101</v>
      </c>
      <c r="BI46" s="31" t="s">
        <v>103</v>
      </c>
      <c r="BJ46" s="31" t="s">
        <v>105</v>
      </c>
      <c r="BK46" s="31" t="s">
        <v>107</v>
      </c>
      <c r="BL46" s="17"/>
      <c r="BM46" s="17"/>
      <c r="BN46" s="17"/>
      <c r="BO46" s="17"/>
      <c r="BP46" s="17"/>
      <c r="BQ46" s="17"/>
      <c r="BR46" s="17"/>
    </row>
    <row r="47">
      <c r="A47" s="17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36" t="s">
        <v>62</v>
      </c>
      <c r="BE47" s="37" t="str">
        <f>IF(BE32="","",BE32)</f>
        <v/>
      </c>
      <c r="BF47" s="37" t="str">
        <f>IF(BE33="","",BE33)</f>
        <v/>
      </c>
      <c r="BG47" s="37" t="str">
        <f>IF(BE34="","",BE34)</f>
        <v/>
      </c>
      <c r="BH47" s="37" t="str">
        <f>IF(BE35="","",BE35)</f>
        <v/>
      </c>
      <c r="BI47" s="37" t="str">
        <f>IF(BE36="","",BE36)</f>
        <v/>
      </c>
      <c r="BJ47" s="37" t="str">
        <f>IF(BE37="","",BE37)</f>
        <v/>
      </c>
      <c r="BK47" s="37" t="str">
        <f>IF(BE38="","",BE38)</f>
        <v/>
      </c>
      <c r="BL47" s="17"/>
      <c r="BM47" s="17"/>
      <c r="BN47" s="17"/>
      <c r="BO47" s="17"/>
      <c r="BP47" s="17"/>
      <c r="BQ47" s="17"/>
      <c r="BR47" s="17"/>
    </row>
    <row r="48">
      <c r="A48" s="17"/>
      <c r="B48" s="99"/>
      <c r="R48" s="100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36" t="s">
        <v>65</v>
      </c>
      <c r="BE48" s="37" t="str">
        <f>IF(BF32="","",BF32)</f>
        <v/>
      </c>
      <c r="BF48" s="37" t="str">
        <f>IF(BF33="","",BF33)</f>
        <v/>
      </c>
      <c r="BG48" s="37" t="str">
        <f>IF(BF34="","",BF34)</f>
        <v/>
      </c>
      <c r="BH48" s="37" t="str">
        <f>IF(BF35="","",BF35)</f>
        <v/>
      </c>
      <c r="BI48" s="37" t="str">
        <f>IF(BF36="","",BF36)</f>
        <v/>
      </c>
      <c r="BJ48" s="37" t="str">
        <f>IF(BF37="","",BF37)</f>
        <v/>
      </c>
      <c r="BK48" s="37" t="str">
        <f>IF(BF38="","",BF38)</f>
        <v/>
      </c>
      <c r="BL48" s="17"/>
      <c r="BM48" s="17"/>
      <c r="BN48" s="17"/>
      <c r="BO48" s="17"/>
      <c r="BP48" s="17"/>
      <c r="BQ48" s="17"/>
      <c r="BR48" s="17"/>
    </row>
    <row r="49">
      <c r="A49" s="17"/>
      <c r="B49" s="101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3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36" t="s">
        <v>66</v>
      </c>
      <c r="BE49" s="37" t="str">
        <f>IF(BG32="","",BG32)</f>
        <v/>
      </c>
      <c r="BF49" s="37" t="str">
        <f>IF(BG33="","",BG33)</f>
        <v/>
      </c>
      <c r="BG49" s="37" t="str">
        <f>IF(BG34="","",BG34)</f>
        <v/>
      </c>
      <c r="BH49" s="37" t="str">
        <f>IF(BG35="","",BG35)</f>
        <v/>
      </c>
      <c r="BI49" s="37" t="str">
        <f>IF(BG36="","",BG36)</f>
        <v/>
      </c>
      <c r="BJ49" s="37" t="str">
        <f>IF(BG37="","",BG37)</f>
        <v/>
      </c>
      <c r="BK49" s="37" t="str">
        <f>IF(BG38="","",BG38)</f>
        <v/>
      </c>
      <c r="BL49" s="17"/>
      <c r="BM49" s="17"/>
      <c r="BN49" s="17"/>
      <c r="BO49" s="17"/>
      <c r="BP49" s="17"/>
      <c r="BQ49" s="17"/>
      <c r="B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36" t="s">
        <v>67</v>
      </c>
      <c r="BE50" s="37" t="str">
        <f>IF(BH32="","",BH32)</f>
        <v/>
      </c>
      <c r="BF50" s="37" t="str">
        <f>IF(BH33="","",BH33)</f>
        <v/>
      </c>
      <c r="BG50" s="37" t="str">
        <f>IF(BH34="","",BH34)</f>
        <v/>
      </c>
      <c r="BH50" s="37" t="str">
        <f>IF(BH35="","",BH35)</f>
        <v/>
      </c>
      <c r="BI50" s="37" t="str">
        <f>IF(BH36="","",BH36)</f>
        <v/>
      </c>
      <c r="BJ50" s="37" t="str">
        <f>IF(BH37="","",BH37)</f>
        <v/>
      </c>
      <c r="BK50" s="37" t="str">
        <f>IF(BH38="","",BH38)</f>
        <v/>
      </c>
      <c r="BL50" s="17"/>
      <c r="BM50" s="17"/>
      <c r="BN50" s="17"/>
      <c r="BO50" s="17"/>
      <c r="BP50" s="17"/>
      <c r="BQ50" s="17"/>
      <c r="BR50" s="17"/>
    </row>
    <row r="51">
      <c r="A51" s="17"/>
      <c r="B51" s="95" t="s">
        <v>116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41" t="s">
        <v>69</v>
      </c>
      <c r="BE51" s="37" t="str">
        <f>IF(BI32="","",BI32)</f>
        <v/>
      </c>
      <c r="BF51" s="37" t="str">
        <f>IF(BI33="","",BI33)</f>
        <v/>
      </c>
      <c r="BG51" s="37" t="str">
        <f>IF(BI34="","",BI34)</f>
        <v/>
      </c>
      <c r="BH51" s="37" t="str">
        <f>IF(BI35="","",BI35)</f>
        <v/>
      </c>
      <c r="BI51" s="37" t="str">
        <f>IF(BI36="","",BI36)</f>
        <v/>
      </c>
      <c r="BJ51" s="37" t="str">
        <f>IF(BI37="","",BI37)</f>
        <v/>
      </c>
      <c r="BK51" s="37" t="str">
        <f>IF(BI38="","",BI38)</f>
        <v/>
      </c>
      <c r="BL51" s="17"/>
      <c r="BM51" s="17"/>
      <c r="BN51" s="17"/>
      <c r="BO51" s="17"/>
      <c r="BP51" s="17"/>
      <c r="BQ51" s="17"/>
      <c r="BR51" s="17"/>
    </row>
    <row r="52">
      <c r="A52" s="17"/>
      <c r="B52" s="9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36" t="s">
        <v>70</v>
      </c>
      <c r="BE52" s="37" t="str">
        <f>IF(BJ32="","",BJ32)</f>
        <v/>
      </c>
      <c r="BF52" s="37" t="str">
        <f>IF(BJ33="","",BJ33)</f>
        <v/>
      </c>
      <c r="BG52" s="37" t="str">
        <f>IF(BJ34="","",BJ34)</f>
        <v/>
      </c>
      <c r="BH52" s="37" t="str">
        <f>IF(BJ35="","",BJ35)</f>
        <v/>
      </c>
      <c r="BI52" s="37" t="str">
        <f>IF(BJ36="","",BJ36)</f>
        <v/>
      </c>
      <c r="BJ52" s="37" t="str">
        <f>IF(BJ37="","",BJ37)</f>
        <v/>
      </c>
      <c r="BK52" s="37" t="str">
        <f>IF(BJ38="","",BJ38)</f>
        <v/>
      </c>
      <c r="BL52" s="17"/>
      <c r="BM52" s="17"/>
      <c r="BN52" s="17"/>
      <c r="BO52" s="17"/>
      <c r="BP52" s="17"/>
      <c r="BQ52" s="17"/>
      <c r="BR52" s="17"/>
    </row>
    <row r="53">
      <c r="A53" s="17"/>
      <c r="B53" s="99"/>
      <c r="R53" s="100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36" t="s">
        <v>71</v>
      </c>
      <c r="BE53" s="37" t="str">
        <f>IF(BK32="","",BK32)</f>
        <v/>
      </c>
      <c r="BF53" s="37" t="str">
        <f>IF(BK33="","",BK33)</f>
        <v/>
      </c>
      <c r="BG53" s="37" t="str">
        <f>IF(BK34="","",BK34)</f>
        <v/>
      </c>
      <c r="BH53" s="37" t="str">
        <f>IF(BK35="","",BK35)</f>
        <v/>
      </c>
      <c r="BI53" s="37" t="str">
        <f>IF(BK36="","",BK36)</f>
        <v/>
      </c>
      <c r="BJ53" s="37" t="str">
        <f>IF(BK37="","",BK37)</f>
        <v/>
      </c>
      <c r="BK53" s="37" t="str">
        <f>IF(BK38="","",BK38)</f>
        <v/>
      </c>
      <c r="BL53" s="17"/>
      <c r="BM53" s="17"/>
      <c r="BN53" s="17"/>
      <c r="BO53" s="17"/>
      <c r="BP53" s="17"/>
      <c r="BQ53" s="17"/>
      <c r="BR53" s="17"/>
    </row>
    <row r="54">
      <c r="A54" s="17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3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</row>
    <row r="56">
      <c r="A56" s="17"/>
      <c r="B56" s="95" t="s">
        <v>117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</row>
    <row r="57">
      <c r="A57" s="17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</row>
    <row r="58">
      <c r="A58" s="17"/>
      <c r="B58" s="99"/>
      <c r="R58" s="100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</row>
    <row r="59">
      <c r="A59" s="17"/>
      <c r="B59" s="10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3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</row>
    <row r="61">
      <c r="A61" s="17"/>
      <c r="B61" s="95" t="s">
        <v>118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</row>
    <row r="62">
      <c r="A62" s="17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>
      <c r="A63" s="17"/>
      <c r="B63" s="99"/>
      <c r="R63" s="100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</row>
    <row r="64">
      <c r="A64" s="17"/>
      <c r="B64" s="101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3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</row>
    <row r="66">
      <c r="A66" s="17"/>
      <c r="B66" s="95" t="s">
        <v>119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</row>
    <row r="67">
      <c r="A67" s="17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</row>
    <row r="68">
      <c r="A68" s="17"/>
      <c r="B68" s="99"/>
      <c r="R68" s="100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</row>
    <row r="69">
      <c r="A69" s="17"/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3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</row>
    <row r="170" ht="22.5" customHeight="1">
      <c r="A170" s="17"/>
      <c r="B170" s="58" t="s">
        <v>120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</row>
    <row r="171">
      <c r="A171" s="17"/>
      <c r="B171" s="61" t="s">
        <v>121</v>
      </c>
      <c r="C171" s="30"/>
      <c r="D171" s="30"/>
      <c r="E171" s="25"/>
      <c r="F171" s="61" t="s">
        <v>122</v>
      </c>
      <c r="G171" s="25"/>
      <c r="H171" s="61" t="s">
        <v>123</v>
      </c>
      <c r="I171" s="25"/>
      <c r="J171" s="61" t="s">
        <v>124</v>
      </c>
      <c r="K171" s="25"/>
      <c r="L171" s="61" t="s">
        <v>125</v>
      </c>
      <c r="M171" s="30"/>
      <c r="N171" s="30"/>
      <c r="O171" s="30"/>
      <c r="P171" s="30"/>
      <c r="Q171" s="30"/>
      <c r="R171" s="25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</row>
    <row r="172" ht="18.0" customHeight="1">
      <c r="A172" s="17"/>
      <c r="B172" s="104" t="s">
        <v>126</v>
      </c>
      <c r="C172" s="30"/>
      <c r="D172" s="30"/>
      <c r="E172" s="25"/>
      <c r="F172" s="105">
        <v>0.3333333333333333</v>
      </c>
      <c r="G172" s="25"/>
      <c r="H172" s="105">
        <v>0.3958333333333333</v>
      </c>
      <c r="I172" s="25"/>
      <c r="J172" s="106" t="str">
        <f>IF(AND($F$172&lt;&gt;"",$H$172&lt;&gt;""),TEXT(MOD($H$172-$F$172,1),"[h]:mm"),"")</f>
        <v>1:30</v>
      </c>
      <c r="K172" s="25"/>
      <c r="L172" s="65"/>
      <c r="M172" s="30"/>
      <c r="N172" s="30"/>
      <c r="O172" s="30"/>
      <c r="P172" s="30"/>
      <c r="Q172" s="30"/>
      <c r="R172" s="25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</row>
    <row r="173" ht="18.0" customHeight="1">
      <c r="A173" s="17"/>
      <c r="B173" s="104" t="s">
        <v>127</v>
      </c>
      <c r="C173" s="30"/>
      <c r="D173" s="30"/>
      <c r="E173" s="25"/>
      <c r="F173" s="105">
        <v>0.4166666666666667</v>
      </c>
      <c r="G173" s="25"/>
      <c r="H173" s="105">
        <v>0.5416666666666666</v>
      </c>
      <c r="I173" s="25"/>
      <c r="J173" s="106" t="str">
        <f>IF(AND($F$173&lt;&gt;"",$H$173&lt;&gt;""),TEXT(MOD($H$173-$F$173,1),"[h]:mm"),"")</f>
        <v>3:00</v>
      </c>
      <c r="K173" s="25"/>
      <c r="L173" s="65"/>
      <c r="M173" s="30"/>
      <c r="N173" s="30"/>
      <c r="O173" s="30"/>
      <c r="P173" s="30"/>
      <c r="Q173" s="30"/>
      <c r="R173" s="25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</row>
    <row r="174" ht="18.0" customHeight="1">
      <c r="A174" s="17"/>
      <c r="B174" s="104" t="s">
        <v>128</v>
      </c>
      <c r="C174" s="30"/>
      <c r="D174" s="30"/>
      <c r="E174" s="25"/>
      <c r="F174" s="105">
        <v>0.75</v>
      </c>
      <c r="G174" s="25"/>
      <c r="H174" s="105">
        <v>0.7916666666666666</v>
      </c>
      <c r="I174" s="25"/>
      <c r="J174" s="106" t="str">
        <f>IF(AND($F$174&lt;&gt;"",$H$174&lt;&gt;""),TEXT(MOD($H$174-$F$174,1),"[h]:mm"),"")</f>
        <v>1:00</v>
      </c>
      <c r="K174" s="25"/>
      <c r="L174" s="65"/>
      <c r="M174" s="30"/>
      <c r="N174" s="30"/>
      <c r="O174" s="30"/>
      <c r="P174" s="30"/>
      <c r="Q174" s="30"/>
      <c r="R174" s="25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</row>
    <row r="175" ht="18.0" customHeight="1">
      <c r="A175" s="17"/>
      <c r="B175" s="104" t="s">
        <v>24</v>
      </c>
      <c r="C175" s="30"/>
      <c r="D175" s="30"/>
      <c r="E175" s="25"/>
      <c r="F175" s="105">
        <v>0.9166666666666666</v>
      </c>
      <c r="G175" s="25"/>
      <c r="H175" s="105">
        <v>0.9305555555555556</v>
      </c>
      <c r="I175" s="25"/>
      <c r="J175" s="106" t="str">
        <f>IF(AND($F$175&lt;&gt;"",$H$175&lt;&gt;""),TEXT(MOD($H$175-$F$175,1),"[h]:mm"),"")</f>
        <v>0:20</v>
      </c>
      <c r="K175" s="25"/>
      <c r="L175" s="65"/>
      <c r="M175" s="30"/>
      <c r="N175" s="30"/>
      <c r="O175" s="30"/>
      <c r="P175" s="30"/>
      <c r="Q175" s="30"/>
      <c r="R175" s="25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</row>
    <row r="176" ht="18.0" customHeight="1">
      <c r="A176" s="17"/>
      <c r="B176" s="65"/>
      <c r="C176" s="30"/>
      <c r="D176" s="30"/>
      <c r="E176" s="25"/>
      <c r="F176" s="107"/>
      <c r="G176" s="25"/>
      <c r="H176" s="107"/>
      <c r="I176" s="25"/>
      <c r="J176" s="106" t="str">
        <f>IF(AND($F$176&lt;&gt;"",$H$176&lt;&gt;""),TEXT(MOD($H$176-$F$176,1),"[h]:mm"),"")</f>
        <v/>
      </c>
      <c r="K176" s="25"/>
      <c r="L176" s="65"/>
      <c r="M176" s="30"/>
      <c r="N176" s="30"/>
      <c r="O176" s="30"/>
      <c r="P176" s="30"/>
      <c r="Q176" s="30"/>
      <c r="R176" s="25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</row>
    <row r="177" ht="18.0" customHeight="1">
      <c r="A177" s="17"/>
      <c r="B177" s="65"/>
      <c r="C177" s="30"/>
      <c r="D177" s="30"/>
      <c r="E177" s="25"/>
      <c r="F177" s="107"/>
      <c r="G177" s="25"/>
      <c r="H177" s="107"/>
      <c r="I177" s="25"/>
      <c r="J177" s="106" t="str">
        <f>IF(AND($F$177&lt;&gt;"",$H$177&lt;&gt;""),TEXT(MOD($H$177-$F$177,1),"[h]:mm"),"")</f>
        <v/>
      </c>
      <c r="K177" s="25"/>
      <c r="L177" s="65"/>
      <c r="M177" s="30"/>
      <c r="N177" s="30"/>
      <c r="O177" s="30"/>
      <c r="P177" s="30"/>
      <c r="Q177" s="30"/>
      <c r="R177" s="25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</row>
    <row r="178" ht="18.0" customHeight="1">
      <c r="A178" s="17"/>
      <c r="B178" s="65"/>
      <c r="C178" s="30"/>
      <c r="D178" s="30"/>
      <c r="E178" s="25"/>
      <c r="F178" s="107"/>
      <c r="G178" s="25"/>
      <c r="H178" s="107"/>
      <c r="I178" s="25"/>
      <c r="J178" s="106" t="str">
        <f>IF(AND($F$178&lt;&gt;"",$H$178&lt;&gt;""),TEXT(MOD($H$178-$F$178,1),"[h]:mm"),"")</f>
        <v/>
      </c>
      <c r="K178" s="25"/>
      <c r="L178" s="65"/>
      <c r="M178" s="30"/>
      <c r="N178" s="30"/>
      <c r="O178" s="30"/>
      <c r="P178" s="30"/>
      <c r="Q178" s="30"/>
      <c r="R178" s="25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</row>
    <row r="179" ht="18.0" customHeight="1">
      <c r="A179" s="17"/>
      <c r="B179" s="65"/>
      <c r="C179" s="30"/>
      <c r="D179" s="30"/>
      <c r="E179" s="25"/>
      <c r="F179" s="107"/>
      <c r="G179" s="25"/>
      <c r="H179" s="107"/>
      <c r="I179" s="25"/>
      <c r="J179" s="106" t="str">
        <f>IF(AND($F$179&lt;&gt;"",$H$179&lt;&gt;""),TEXT(MOD($H$179-$F$179,1),"[h]:mm"),"")</f>
        <v/>
      </c>
      <c r="K179" s="25"/>
      <c r="L179" s="65"/>
      <c r="M179" s="30"/>
      <c r="N179" s="30"/>
      <c r="O179" s="30"/>
      <c r="P179" s="30"/>
      <c r="Q179" s="30"/>
      <c r="R179" s="25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</row>
    <row r="180" ht="18.0" customHeight="1">
      <c r="A180" s="17"/>
      <c r="B180" s="65"/>
      <c r="C180" s="30"/>
      <c r="D180" s="30"/>
      <c r="E180" s="25"/>
      <c r="F180" s="107"/>
      <c r="G180" s="25"/>
      <c r="H180" s="107"/>
      <c r="I180" s="25"/>
      <c r="J180" s="106" t="str">
        <f>IF(AND($F$180&lt;&gt;"",$H$180&lt;&gt;""),TEXT(MOD($H$180-$F$180,1),"[h]:mm"),"")</f>
        <v/>
      </c>
      <c r="K180" s="25"/>
      <c r="L180" s="65"/>
      <c r="M180" s="30"/>
      <c r="N180" s="30"/>
      <c r="O180" s="30"/>
      <c r="P180" s="30"/>
      <c r="Q180" s="30"/>
      <c r="R180" s="25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</row>
    <row r="181" ht="18.0" customHeight="1">
      <c r="A181" s="17"/>
      <c r="B181" s="65"/>
      <c r="C181" s="30"/>
      <c r="D181" s="30"/>
      <c r="E181" s="25"/>
      <c r="F181" s="107"/>
      <c r="G181" s="25"/>
      <c r="H181" s="107"/>
      <c r="I181" s="25"/>
      <c r="J181" s="106" t="str">
        <f>IF(AND($F$181&lt;&gt;"",$H$181&lt;&gt;""),TEXT(MOD($H$181-$F$181,1),"[h]:mm"),"")</f>
        <v/>
      </c>
      <c r="K181" s="25"/>
      <c r="L181" s="65"/>
      <c r="M181" s="30"/>
      <c r="N181" s="30"/>
      <c r="O181" s="30"/>
      <c r="P181" s="30"/>
      <c r="Q181" s="30"/>
      <c r="R181" s="25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</row>
    <row r="182" ht="18.0" customHeight="1">
      <c r="A182" s="17"/>
      <c r="B182" s="65"/>
      <c r="C182" s="30"/>
      <c r="D182" s="30"/>
      <c r="E182" s="25"/>
      <c r="F182" s="107"/>
      <c r="G182" s="25"/>
      <c r="H182" s="107"/>
      <c r="I182" s="25"/>
      <c r="J182" s="106" t="str">
        <f>IF(AND($F$182&lt;&gt;"",$H$182&lt;&gt;""),TEXT(MOD($H$182-$F$182,1),"[h]:mm"),"")</f>
        <v/>
      </c>
      <c r="K182" s="25"/>
      <c r="L182" s="65"/>
      <c r="M182" s="30"/>
      <c r="N182" s="30"/>
      <c r="O182" s="30"/>
      <c r="P182" s="30"/>
      <c r="Q182" s="30"/>
      <c r="R182" s="25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</row>
    <row r="183" ht="18.0" customHeight="1">
      <c r="A183" s="17"/>
      <c r="B183" s="65"/>
      <c r="C183" s="30"/>
      <c r="D183" s="30"/>
      <c r="E183" s="25"/>
      <c r="F183" s="107"/>
      <c r="G183" s="25"/>
      <c r="H183" s="107"/>
      <c r="I183" s="25"/>
      <c r="J183" s="106" t="str">
        <f>IF(AND($F$183&lt;&gt;"",$H$183&lt;&gt;""),TEXT(MOD($H$183-$F$183,1),"[h]:mm"),"")</f>
        <v/>
      </c>
      <c r="K183" s="25"/>
      <c r="L183" s="65"/>
      <c r="M183" s="30"/>
      <c r="N183" s="30"/>
      <c r="O183" s="30"/>
      <c r="P183" s="30"/>
      <c r="Q183" s="30"/>
      <c r="R183" s="25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</row>
    <row r="186" ht="22.5" customHeight="1">
      <c r="A186" s="17"/>
      <c r="B186" s="58" t="s">
        <v>129</v>
      </c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</row>
    <row r="188" ht="19.5" customHeight="1">
      <c r="A188" s="17"/>
      <c r="B188" s="108" t="str">
        <f>"Monday"&amp;"   ·   "&amp;TEXT(MONTH_START+21,"d mmm")</f>
        <v>Monday   ·   7 Sep</v>
      </c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</row>
    <row r="189">
      <c r="A189" s="17"/>
      <c r="B189" s="94" t="s">
        <v>130</v>
      </c>
      <c r="M189" s="17"/>
      <c r="N189" s="94" t="s">
        <v>131</v>
      </c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</row>
    <row r="190">
      <c r="A190" s="17"/>
      <c r="B190" s="96"/>
      <c r="C190" s="97"/>
      <c r="D190" s="97"/>
      <c r="E190" s="97"/>
      <c r="F190" s="97"/>
      <c r="G190" s="97"/>
      <c r="H190" s="97"/>
      <c r="I190" s="97"/>
      <c r="J190" s="97"/>
      <c r="K190" s="97"/>
      <c r="L190" s="98"/>
      <c r="M190" s="17"/>
      <c r="N190" s="96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8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</row>
    <row r="191">
      <c r="A191" s="17"/>
      <c r="B191" s="99"/>
      <c r="L191" s="100"/>
      <c r="M191" s="17"/>
      <c r="N191" s="99"/>
      <c r="AA191" s="10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</row>
    <row r="192">
      <c r="A192" s="17"/>
      <c r="B192" s="99"/>
      <c r="L192" s="100"/>
      <c r="M192" s="17"/>
      <c r="N192" s="99"/>
      <c r="AA192" s="10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</row>
    <row r="193">
      <c r="A193" s="17"/>
      <c r="B193" s="99"/>
      <c r="L193" s="100"/>
      <c r="M193" s="17"/>
      <c r="N193" s="99"/>
      <c r="AA193" s="10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</row>
    <row r="194">
      <c r="A194" s="17"/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3"/>
      <c r="M194" s="17"/>
      <c r="N194" s="101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3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</row>
    <row r="196" ht="19.5" customHeight="1">
      <c r="A196" s="17"/>
      <c r="B196" s="108" t="str">
        <f>"Tuesday"&amp;"   ·   "&amp;TEXT(MONTH_START+22,"d mmm")</f>
        <v>Tuesday   ·   8 Sep</v>
      </c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</row>
    <row r="197">
      <c r="A197" s="17"/>
      <c r="B197" s="94" t="s">
        <v>130</v>
      </c>
      <c r="M197" s="17"/>
      <c r="N197" s="94" t="s">
        <v>131</v>
      </c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</row>
    <row r="198">
      <c r="A198" s="17"/>
      <c r="B198" s="96"/>
      <c r="C198" s="97"/>
      <c r="D198" s="97"/>
      <c r="E198" s="97"/>
      <c r="F198" s="97"/>
      <c r="G198" s="97"/>
      <c r="H198" s="97"/>
      <c r="I198" s="97"/>
      <c r="J198" s="97"/>
      <c r="K198" s="97"/>
      <c r="L198" s="98"/>
      <c r="M198" s="17"/>
      <c r="N198" s="96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8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</row>
    <row r="199">
      <c r="A199" s="17"/>
      <c r="B199" s="99"/>
      <c r="L199" s="100"/>
      <c r="M199" s="17"/>
      <c r="N199" s="99"/>
      <c r="AA199" s="10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</row>
    <row r="200">
      <c r="A200" s="17"/>
      <c r="B200" s="99"/>
      <c r="L200" s="100"/>
      <c r="M200" s="17"/>
      <c r="N200" s="99"/>
      <c r="AA200" s="10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</row>
    <row r="201">
      <c r="A201" s="17"/>
      <c r="B201" s="99"/>
      <c r="L201" s="100"/>
      <c r="M201" s="17"/>
      <c r="N201" s="99"/>
      <c r="AA201" s="10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</row>
    <row r="202">
      <c r="A202" s="17"/>
      <c r="B202" s="101"/>
      <c r="C202" s="102"/>
      <c r="D202" s="102"/>
      <c r="E202" s="102"/>
      <c r="F202" s="102"/>
      <c r="G202" s="102"/>
      <c r="H202" s="102"/>
      <c r="I202" s="102"/>
      <c r="J202" s="102"/>
      <c r="K202" s="102"/>
      <c r="L202" s="103"/>
      <c r="M202" s="17"/>
      <c r="N202" s="101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3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</row>
    <row r="204" ht="19.5" customHeight="1">
      <c r="A204" s="17"/>
      <c r="B204" s="108" t="str">
        <f>"Wednesday"&amp;"   ·   "&amp;TEXT(MONTH_START+23,"d mmm")</f>
        <v>Wednesday   ·   9 Sep</v>
      </c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</row>
    <row r="205">
      <c r="A205" s="17"/>
      <c r="B205" s="94" t="s">
        <v>130</v>
      </c>
      <c r="M205" s="17"/>
      <c r="N205" s="94" t="s">
        <v>131</v>
      </c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</row>
    <row r="206">
      <c r="A206" s="17"/>
      <c r="B206" s="96"/>
      <c r="C206" s="97"/>
      <c r="D206" s="97"/>
      <c r="E206" s="97"/>
      <c r="F206" s="97"/>
      <c r="G206" s="97"/>
      <c r="H206" s="97"/>
      <c r="I206" s="97"/>
      <c r="J206" s="97"/>
      <c r="K206" s="97"/>
      <c r="L206" s="98"/>
      <c r="M206" s="17"/>
      <c r="N206" s="96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8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</row>
    <row r="207">
      <c r="A207" s="17"/>
      <c r="B207" s="99"/>
      <c r="L207" s="100"/>
      <c r="M207" s="17"/>
      <c r="N207" s="99"/>
      <c r="AA207" s="10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</row>
    <row r="208">
      <c r="A208" s="17"/>
      <c r="B208" s="99"/>
      <c r="L208" s="100"/>
      <c r="M208" s="17"/>
      <c r="N208" s="99"/>
      <c r="AA208" s="10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</row>
    <row r="209">
      <c r="A209" s="17"/>
      <c r="B209" s="99"/>
      <c r="L209" s="100"/>
      <c r="M209" s="17"/>
      <c r="N209" s="99"/>
      <c r="AA209" s="10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</row>
    <row r="210">
      <c r="A210" s="17"/>
      <c r="B210" s="101"/>
      <c r="C210" s="102"/>
      <c r="D210" s="102"/>
      <c r="E210" s="102"/>
      <c r="F210" s="102"/>
      <c r="G210" s="102"/>
      <c r="H210" s="102"/>
      <c r="I210" s="102"/>
      <c r="J210" s="102"/>
      <c r="K210" s="102"/>
      <c r="L210" s="103"/>
      <c r="M210" s="17"/>
      <c r="N210" s="101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3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</row>
    <row r="212" ht="19.5" customHeight="1">
      <c r="A212" s="17"/>
      <c r="B212" s="108" t="str">
        <f>"Thursday"&amp;"   ·   "&amp;TEXT(MONTH_START+24,"d mmm")</f>
        <v>Thursday   ·   10 Sep</v>
      </c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</row>
    <row r="213">
      <c r="A213" s="17"/>
      <c r="B213" s="94" t="s">
        <v>130</v>
      </c>
      <c r="M213" s="17"/>
      <c r="N213" s="94" t="s">
        <v>131</v>
      </c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</row>
    <row r="214">
      <c r="A214" s="17"/>
      <c r="B214" s="96"/>
      <c r="C214" s="97"/>
      <c r="D214" s="97"/>
      <c r="E214" s="97"/>
      <c r="F214" s="97"/>
      <c r="G214" s="97"/>
      <c r="H214" s="97"/>
      <c r="I214" s="97"/>
      <c r="J214" s="97"/>
      <c r="K214" s="97"/>
      <c r="L214" s="98"/>
      <c r="M214" s="17"/>
      <c r="N214" s="96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8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</row>
    <row r="215">
      <c r="A215" s="17"/>
      <c r="B215" s="99"/>
      <c r="L215" s="100"/>
      <c r="M215" s="17"/>
      <c r="N215" s="99"/>
      <c r="AA215" s="10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</row>
    <row r="216">
      <c r="A216" s="17"/>
      <c r="B216" s="99"/>
      <c r="L216" s="100"/>
      <c r="M216" s="17"/>
      <c r="N216" s="99"/>
      <c r="AA216" s="10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</row>
    <row r="217">
      <c r="A217" s="17"/>
      <c r="B217" s="99"/>
      <c r="L217" s="100"/>
      <c r="M217" s="17"/>
      <c r="N217" s="99"/>
      <c r="AA217" s="10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</row>
    <row r="218">
      <c r="A218" s="17"/>
      <c r="B218" s="101"/>
      <c r="C218" s="102"/>
      <c r="D218" s="102"/>
      <c r="E218" s="102"/>
      <c r="F218" s="102"/>
      <c r="G218" s="102"/>
      <c r="H218" s="102"/>
      <c r="I218" s="102"/>
      <c r="J218" s="102"/>
      <c r="K218" s="102"/>
      <c r="L218" s="103"/>
      <c r="M218" s="17"/>
      <c r="N218" s="101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3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</row>
    <row r="220" ht="19.5" customHeight="1">
      <c r="A220" s="17"/>
      <c r="B220" s="109" t="str">
        <f>"Friday"&amp;"   ·   "&amp;TEXT(MONTH_START+25,"d mmm")</f>
        <v>Friday   ·   11 Sep</v>
      </c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</row>
    <row r="221">
      <c r="A221" s="17"/>
      <c r="B221" s="94" t="s">
        <v>130</v>
      </c>
      <c r="M221" s="17"/>
      <c r="N221" s="94" t="s">
        <v>131</v>
      </c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</row>
    <row r="222">
      <c r="A222" s="17"/>
      <c r="B222" s="96"/>
      <c r="C222" s="97"/>
      <c r="D222" s="97"/>
      <c r="E222" s="97"/>
      <c r="F222" s="97"/>
      <c r="G222" s="97"/>
      <c r="H222" s="97"/>
      <c r="I222" s="97"/>
      <c r="J222" s="97"/>
      <c r="K222" s="97"/>
      <c r="L222" s="98"/>
      <c r="M222" s="17"/>
      <c r="N222" s="96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8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</row>
    <row r="223">
      <c r="A223" s="17"/>
      <c r="B223" s="99"/>
      <c r="L223" s="100"/>
      <c r="M223" s="17"/>
      <c r="N223" s="99"/>
      <c r="AA223" s="10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</row>
    <row r="224">
      <c r="A224" s="17"/>
      <c r="B224" s="99"/>
      <c r="L224" s="100"/>
      <c r="M224" s="17"/>
      <c r="N224" s="99"/>
      <c r="AA224" s="10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</row>
    <row r="225">
      <c r="A225" s="17"/>
      <c r="B225" s="99"/>
      <c r="L225" s="100"/>
      <c r="M225" s="17"/>
      <c r="N225" s="99"/>
      <c r="AA225" s="10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</row>
    <row r="226">
      <c r="A226" s="17"/>
      <c r="B226" s="101"/>
      <c r="C226" s="102"/>
      <c r="D226" s="102"/>
      <c r="E226" s="102"/>
      <c r="F226" s="102"/>
      <c r="G226" s="102"/>
      <c r="H226" s="102"/>
      <c r="I226" s="102"/>
      <c r="J226" s="102"/>
      <c r="K226" s="102"/>
      <c r="L226" s="103"/>
      <c r="M226" s="17"/>
      <c r="N226" s="101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3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</row>
    <row r="228" ht="19.5" customHeight="1">
      <c r="A228" s="17"/>
      <c r="B228" s="108" t="str">
        <f>"Saturday"&amp;"   ·   "&amp;TEXT(MONTH_START+26,"d mmm")</f>
        <v>Saturday   ·   12 Sep</v>
      </c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</row>
    <row r="229">
      <c r="A229" s="17"/>
      <c r="B229" s="94" t="s">
        <v>130</v>
      </c>
      <c r="M229" s="17"/>
      <c r="N229" s="94" t="s">
        <v>131</v>
      </c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</row>
    <row r="230">
      <c r="A230" s="17"/>
      <c r="B230" s="96"/>
      <c r="C230" s="97"/>
      <c r="D230" s="97"/>
      <c r="E230" s="97"/>
      <c r="F230" s="97"/>
      <c r="G230" s="97"/>
      <c r="H230" s="97"/>
      <c r="I230" s="97"/>
      <c r="J230" s="97"/>
      <c r="K230" s="97"/>
      <c r="L230" s="98"/>
      <c r="M230" s="17"/>
      <c r="N230" s="96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8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</row>
    <row r="231">
      <c r="A231" s="17"/>
      <c r="B231" s="99"/>
      <c r="L231" s="100"/>
      <c r="M231" s="17"/>
      <c r="N231" s="99"/>
      <c r="AA231" s="10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</row>
    <row r="232">
      <c r="A232" s="17"/>
      <c r="B232" s="99"/>
      <c r="L232" s="100"/>
      <c r="M232" s="17"/>
      <c r="N232" s="99"/>
      <c r="AA232" s="10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</row>
    <row r="233">
      <c r="A233" s="17"/>
      <c r="B233" s="99"/>
      <c r="L233" s="100"/>
      <c r="M233" s="17"/>
      <c r="N233" s="99"/>
      <c r="AA233" s="10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</row>
    <row r="234">
      <c r="A234" s="17"/>
      <c r="B234" s="101"/>
      <c r="C234" s="102"/>
      <c r="D234" s="102"/>
      <c r="E234" s="102"/>
      <c r="F234" s="102"/>
      <c r="G234" s="102"/>
      <c r="H234" s="102"/>
      <c r="I234" s="102"/>
      <c r="J234" s="102"/>
      <c r="K234" s="102"/>
      <c r="L234" s="103"/>
      <c r="M234" s="17"/>
      <c r="N234" s="101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3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</row>
    <row r="236" ht="19.5" customHeight="1">
      <c r="A236" s="17"/>
      <c r="B236" s="108" t="str">
        <f>"Sunday"&amp;"   ·   "&amp;TEXT(MONTH_START+27,"d mmm")</f>
        <v>Sunday   ·   13 Sep</v>
      </c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</row>
    <row r="237">
      <c r="A237" s="17"/>
      <c r="B237" s="94" t="s">
        <v>130</v>
      </c>
      <c r="M237" s="17"/>
      <c r="N237" s="94" t="s">
        <v>131</v>
      </c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</row>
    <row r="238">
      <c r="A238" s="17"/>
      <c r="B238" s="96"/>
      <c r="C238" s="97"/>
      <c r="D238" s="97"/>
      <c r="E238" s="97"/>
      <c r="F238" s="97"/>
      <c r="G238" s="97"/>
      <c r="H238" s="97"/>
      <c r="I238" s="97"/>
      <c r="J238" s="97"/>
      <c r="K238" s="97"/>
      <c r="L238" s="98"/>
      <c r="M238" s="17"/>
      <c r="N238" s="96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8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</row>
    <row r="239">
      <c r="A239" s="17"/>
      <c r="B239" s="99"/>
      <c r="L239" s="100"/>
      <c r="M239" s="17"/>
      <c r="N239" s="99"/>
      <c r="AA239" s="10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</row>
    <row r="240">
      <c r="A240" s="17"/>
      <c r="B240" s="99"/>
      <c r="L240" s="100"/>
      <c r="M240" s="17"/>
      <c r="N240" s="99"/>
      <c r="AA240" s="10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</row>
    <row r="241">
      <c r="A241" s="17"/>
      <c r="B241" s="99"/>
      <c r="L241" s="100"/>
      <c r="M241" s="17"/>
      <c r="N241" s="99"/>
      <c r="AA241" s="10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</row>
    <row r="242">
      <c r="A242" s="17"/>
      <c r="B242" s="101"/>
      <c r="C242" s="102"/>
      <c r="D242" s="102"/>
      <c r="E242" s="102"/>
      <c r="F242" s="102"/>
      <c r="G242" s="102"/>
      <c r="H242" s="102"/>
      <c r="I242" s="102"/>
      <c r="J242" s="102"/>
      <c r="K242" s="102"/>
      <c r="L242" s="103"/>
      <c r="M242" s="17"/>
      <c r="N242" s="101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3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</row>
  </sheetData>
  <mergeCells count="281">
    <mergeCell ref="I30:K30"/>
    <mergeCell ref="L30:R30"/>
    <mergeCell ref="B31:E31"/>
    <mergeCell ref="F31:H31"/>
    <mergeCell ref="I31:K31"/>
    <mergeCell ref="L31:R31"/>
    <mergeCell ref="B33:R33"/>
    <mergeCell ref="B34:E34"/>
    <mergeCell ref="F34:H34"/>
    <mergeCell ref="I34:K34"/>
    <mergeCell ref="L34:R34"/>
    <mergeCell ref="F35:H35"/>
    <mergeCell ref="I35:K35"/>
    <mergeCell ref="L35:R35"/>
    <mergeCell ref="O4:P4"/>
    <mergeCell ref="Q4:R4"/>
    <mergeCell ref="O14:R14"/>
    <mergeCell ref="G4:H4"/>
    <mergeCell ref="I4:J4"/>
    <mergeCell ref="C14:F14"/>
    <mergeCell ref="G14:J14"/>
    <mergeCell ref="B16:R16"/>
    <mergeCell ref="B17:E17"/>
    <mergeCell ref="F17:H17"/>
    <mergeCell ref="B19:E19"/>
    <mergeCell ref="F19:H19"/>
    <mergeCell ref="I19:K19"/>
    <mergeCell ref="L19:R19"/>
    <mergeCell ref="F20:H20"/>
    <mergeCell ref="I20:K20"/>
    <mergeCell ref="L20:R20"/>
    <mergeCell ref="I22:K22"/>
    <mergeCell ref="L22:R22"/>
    <mergeCell ref="B20:E20"/>
    <mergeCell ref="B21:E21"/>
    <mergeCell ref="F21:H21"/>
    <mergeCell ref="I21:K21"/>
    <mergeCell ref="L21:R21"/>
    <mergeCell ref="B22:E22"/>
    <mergeCell ref="F22:H22"/>
    <mergeCell ref="I26:K26"/>
    <mergeCell ref="L26:R26"/>
    <mergeCell ref="I41:K41"/>
    <mergeCell ref="L41:R41"/>
    <mergeCell ref="B42:E42"/>
    <mergeCell ref="F42:H42"/>
    <mergeCell ref="I42:K42"/>
    <mergeCell ref="L42:R42"/>
    <mergeCell ref="B44:R44"/>
    <mergeCell ref="B177:E177"/>
    <mergeCell ref="F177:G177"/>
    <mergeCell ref="H177:I177"/>
    <mergeCell ref="J177:K177"/>
    <mergeCell ref="L177:R177"/>
    <mergeCell ref="B178:E178"/>
    <mergeCell ref="F178:G178"/>
    <mergeCell ref="L178:R178"/>
    <mergeCell ref="H178:I178"/>
    <mergeCell ref="J178:K178"/>
    <mergeCell ref="B179:E179"/>
    <mergeCell ref="F179:G179"/>
    <mergeCell ref="H179:I179"/>
    <mergeCell ref="J179:K179"/>
    <mergeCell ref="L179:R179"/>
    <mergeCell ref="B180:E180"/>
    <mergeCell ref="F180:G180"/>
    <mergeCell ref="H180:I180"/>
    <mergeCell ref="J180:K180"/>
    <mergeCell ref="L180:R180"/>
    <mergeCell ref="B181:E181"/>
    <mergeCell ref="F181:G181"/>
    <mergeCell ref="L181:R181"/>
    <mergeCell ref="H181:I181"/>
    <mergeCell ref="J181:K181"/>
    <mergeCell ref="B182:E182"/>
    <mergeCell ref="F182:G182"/>
    <mergeCell ref="H182:I182"/>
    <mergeCell ref="J182:K182"/>
    <mergeCell ref="L182:R182"/>
    <mergeCell ref="B186:AA186"/>
    <mergeCell ref="B188:AA188"/>
    <mergeCell ref="B189:L189"/>
    <mergeCell ref="N189:AA189"/>
    <mergeCell ref="B190:L194"/>
    <mergeCell ref="N190:AA194"/>
    <mergeCell ref="B196:AA196"/>
    <mergeCell ref="N205:AA205"/>
    <mergeCell ref="N206:AA210"/>
    <mergeCell ref="B197:L197"/>
    <mergeCell ref="N197:AA197"/>
    <mergeCell ref="B198:L202"/>
    <mergeCell ref="N198:AA202"/>
    <mergeCell ref="B204:AA204"/>
    <mergeCell ref="B205:L205"/>
    <mergeCell ref="B206:L210"/>
    <mergeCell ref="B212:AA212"/>
    <mergeCell ref="B213:L213"/>
    <mergeCell ref="N213:AA213"/>
    <mergeCell ref="B214:L218"/>
    <mergeCell ref="N214:AA218"/>
    <mergeCell ref="B220:AA220"/>
    <mergeCell ref="N221:AA221"/>
    <mergeCell ref="N230:AA234"/>
    <mergeCell ref="B236:AA236"/>
    <mergeCell ref="B237:L237"/>
    <mergeCell ref="N237:AA237"/>
    <mergeCell ref="B238:L242"/>
    <mergeCell ref="N238:AA242"/>
    <mergeCell ref="B221:L221"/>
    <mergeCell ref="B222:L226"/>
    <mergeCell ref="N222:AA226"/>
    <mergeCell ref="B228:AA228"/>
    <mergeCell ref="B229:L229"/>
    <mergeCell ref="N229:AA229"/>
    <mergeCell ref="B230:L234"/>
    <mergeCell ref="J172:K172"/>
    <mergeCell ref="L172:R172"/>
    <mergeCell ref="L173:R173"/>
    <mergeCell ref="B170:R170"/>
    <mergeCell ref="B171:E171"/>
    <mergeCell ref="F171:G171"/>
    <mergeCell ref="H171:I171"/>
    <mergeCell ref="J171:K171"/>
    <mergeCell ref="L171:R171"/>
    <mergeCell ref="B172:E172"/>
    <mergeCell ref="F174:G174"/>
    <mergeCell ref="H174:I174"/>
    <mergeCell ref="L174:R174"/>
    <mergeCell ref="L175:R175"/>
    <mergeCell ref="F172:G172"/>
    <mergeCell ref="H172:I172"/>
    <mergeCell ref="B173:E173"/>
    <mergeCell ref="F173:G173"/>
    <mergeCell ref="H173:I173"/>
    <mergeCell ref="J173:K173"/>
    <mergeCell ref="J174:K174"/>
    <mergeCell ref="H176:I176"/>
    <mergeCell ref="J176:K176"/>
    <mergeCell ref="L176:R176"/>
    <mergeCell ref="B174:E174"/>
    <mergeCell ref="B175:E175"/>
    <mergeCell ref="F175:G175"/>
    <mergeCell ref="H175:I175"/>
    <mergeCell ref="J175:K175"/>
    <mergeCell ref="B176:E176"/>
    <mergeCell ref="F176:G176"/>
    <mergeCell ref="B183:E183"/>
    <mergeCell ref="F183:G183"/>
    <mergeCell ref="H183:I183"/>
    <mergeCell ref="J183:K183"/>
    <mergeCell ref="L183:R183"/>
    <mergeCell ref="AI4:AJ4"/>
    <mergeCell ref="AK4:AL4"/>
    <mergeCell ref="AM4:AN4"/>
    <mergeCell ref="AO4:AP4"/>
    <mergeCell ref="AQ4:AR4"/>
    <mergeCell ref="AS4:AT4"/>
    <mergeCell ref="AU4:AV4"/>
    <mergeCell ref="AW4:AX4"/>
    <mergeCell ref="AZ3:BB3"/>
    <mergeCell ref="AZ4:BB4"/>
    <mergeCell ref="B1:AX1"/>
    <mergeCell ref="AZ1:BK1"/>
    <mergeCell ref="B2:AX2"/>
    <mergeCell ref="AZ2:BK2"/>
    <mergeCell ref="B4:B5"/>
    <mergeCell ref="C4:D4"/>
    <mergeCell ref="E4:F4"/>
    <mergeCell ref="BD3:BQ3"/>
    <mergeCell ref="B23:E23"/>
    <mergeCell ref="F23:H23"/>
    <mergeCell ref="I23:K23"/>
    <mergeCell ref="L23:R23"/>
    <mergeCell ref="F24:H24"/>
    <mergeCell ref="I24:K24"/>
    <mergeCell ref="L24:R24"/>
    <mergeCell ref="AZ24:BB24"/>
    <mergeCell ref="B24:E24"/>
    <mergeCell ref="B25:E25"/>
    <mergeCell ref="F25:H25"/>
    <mergeCell ref="I25:K25"/>
    <mergeCell ref="L25:R25"/>
    <mergeCell ref="B26:E26"/>
    <mergeCell ref="F26:H26"/>
    <mergeCell ref="B27:E27"/>
    <mergeCell ref="F27:H27"/>
    <mergeCell ref="I27:K27"/>
    <mergeCell ref="L27:R27"/>
    <mergeCell ref="F28:H28"/>
    <mergeCell ref="I28:K28"/>
    <mergeCell ref="L28:R28"/>
    <mergeCell ref="AZ29:BB29"/>
    <mergeCell ref="BD30:BL30"/>
    <mergeCell ref="B28:E28"/>
    <mergeCell ref="B29:E29"/>
    <mergeCell ref="F29:H29"/>
    <mergeCell ref="I29:K29"/>
    <mergeCell ref="L29:R29"/>
    <mergeCell ref="B30:E30"/>
    <mergeCell ref="F30:H30"/>
    <mergeCell ref="I37:K37"/>
    <mergeCell ref="L37:R37"/>
    <mergeCell ref="B35:E35"/>
    <mergeCell ref="B36:E36"/>
    <mergeCell ref="F36:H36"/>
    <mergeCell ref="I36:K36"/>
    <mergeCell ref="L36:R36"/>
    <mergeCell ref="B37:E37"/>
    <mergeCell ref="F37:H37"/>
    <mergeCell ref="AZ34:BB34"/>
    <mergeCell ref="B38:E38"/>
    <mergeCell ref="F38:H38"/>
    <mergeCell ref="I38:K38"/>
    <mergeCell ref="L38:R38"/>
    <mergeCell ref="F39:H39"/>
    <mergeCell ref="I39:K39"/>
    <mergeCell ref="L39:R39"/>
    <mergeCell ref="BD40:BL40"/>
    <mergeCell ref="BD45:BK45"/>
    <mergeCell ref="B39:E39"/>
    <mergeCell ref="B40:E40"/>
    <mergeCell ref="F40:H40"/>
    <mergeCell ref="I40:K40"/>
    <mergeCell ref="L40:R40"/>
    <mergeCell ref="B41:E41"/>
    <mergeCell ref="F41:H41"/>
    <mergeCell ref="B62:R64"/>
    <mergeCell ref="B66:R66"/>
    <mergeCell ref="B67:R69"/>
    <mergeCell ref="B46:R46"/>
    <mergeCell ref="B47:R49"/>
    <mergeCell ref="B51:R51"/>
    <mergeCell ref="B52:R54"/>
    <mergeCell ref="B56:R56"/>
    <mergeCell ref="B57:R59"/>
    <mergeCell ref="B61:R61"/>
    <mergeCell ref="BI15:BK15"/>
    <mergeCell ref="BM15:BP15"/>
    <mergeCell ref="AU14:AX14"/>
    <mergeCell ref="AZ14:BB14"/>
    <mergeCell ref="BD14:BQ14"/>
    <mergeCell ref="BD15:BG15"/>
    <mergeCell ref="BD16:BG17"/>
    <mergeCell ref="BI16:BK17"/>
    <mergeCell ref="BM16:BP17"/>
    <mergeCell ref="BF25:BH25"/>
    <mergeCell ref="BF26:BH26"/>
    <mergeCell ref="BF27:BH27"/>
    <mergeCell ref="BF28:BH28"/>
    <mergeCell ref="AZ19:BB19"/>
    <mergeCell ref="BF19:BH19"/>
    <mergeCell ref="BF20:BH20"/>
    <mergeCell ref="BF21:BH21"/>
    <mergeCell ref="BF22:BH22"/>
    <mergeCell ref="BF23:BH23"/>
    <mergeCell ref="BF24:BH24"/>
    <mergeCell ref="K4:L4"/>
    <mergeCell ref="M4:N4"/>
    <mergeCell ref="K14:N14"/>
    <mergeCell ref="S4:T4"/>
    <mergeCell ref="U4:V4"/>
    <mergeCell ref="S14:V14"/>
    <mergeCell ref="W4:X4"/>
    <mergeCell ref="Y4:Z4"/>
    <mergeCell ref="W14:Z14"/>
    <mergeCell ref="AA4:AB4"/>
    <mergeCell ref="AC4:AD4"/>
    <mergeCell ref="AA14:AD14"/>
    <mergeCell ref="I17:K17"/>
    <mergeCell ref="L17:R17"/>
    <mergeCell ref="B18:E18"/>
    <mergeCell ref="F18:H18"/>
    <mergeCell ref="I18:K18"/>
    <mergeCell ref="L18:R18"/>
    <mergeCell ref="AE4:AF4"/>
    <mergeCell ref="AG4:AH4"/>
    <mergeCell ref="AE14:AH14"/>
    <mergeCell ref="AI14:AL14"/>
    <mergeCell ref="AM14:AP14"/>
    <mergeCell ref="AQ14:AT14"/>
    <mergeCell ref="AZ9:BB9"/>
  </mergeCells>
  <conditionalFormatting sqref="C6:AX12">
    <cfRule type="cellIs" dxfId="0" priority="1" stopIfTrue="1" operator="equal">
      <formula>"codding"</formula>
    </cfRule>
  </conditionalFormatting>
  <conditionalFormatting sqref="C6:AX12">
    <cfRule type="cellIs" dxfId="1" priority="2" stopIfTrue="1" operator="equal">
      <formula>"learn-prog"</formula>
    </cfRule>
  </conditionalFormatting>
  <conditionalFormatting sqref="C6:AX12">
    <cfRule type="cellIs" dxfId="2" priority="3" stopIfTrue="1" operator="equal">
      <formula>"En-book"</formula>
    </cfRule>
  </conditionalFormatting>
  <conditionalFormatting sqref="C6:AX12">
    <cfRule type="cellIs" dxfId="3" priority="4" stopIfTrue="1" operator="equal">
      <formula>"En-listening"</formula>
    </cfRule>
  </conditionalFormatting>
  <conditionalFormatting sqref="C6:AX12">
    <cfRule type="cellIs" dxfId="4" priority="5" stopIfTrue="1" operator="equal">
      <formula>"Run"</formula>
    </cfRule>
  </conditionalFormatting>
  <conditionalFormatting sqref="C6:AX12">
    <cfRule type="cellIs" dxfId="5" priority="6" stopIfTrue="1" operator="equal">
      <formula>"Gym"</formula>
    </cfRule>
  </conditionalFormatting>
  <conditionalFormatting sqref="C6:AX12">
    <cfRule type="cellIs" dxfId="6" priority="7" stopIfTrue="1" operator="equal">
      <formula>"work"</formula>
    </cfRule>
  </conditionalFormatting>
  <conditionalFormatting sqref="C6:AX12">
    <cfRule type="cellIs" dxfId="7" priority="8" stopIfTrue="1" operator="equal">
      <formula>"Meditation"</formula>
    </cfRule>
  </conditionalFormatting>
  <conditionalFormatting sqref="C6:AX12">
    <cfRule type="cellIs" dxfId="8" priority="9" stopIfTrue="1" operator="equal">
      <formula>"Setar"</formula>
    </cfRule>
  </conditionalFormatting>
  <conditionalFormatting sqref="C6:AX12">
    <cfRule type="cellIs" dxfId="9" priority="10" stopIfTrue="1" operator="equal">
      <formula>"Personal Tasks"</formula>
    </cfRule>
  </conditionalFormatting>
  <conditionalFormatting sqref="C6:AX12">
    <cfRule type="cellIs" dxfId="10" priority="11" stopIfTrue="1" operator="equal">
      <formula>"Wasted Time"</formula>
    </cfRule>
  </conditionalFormatting>
  <conditionalFormatting sqref="C6:AX12">
    <cfRule type="cellIs" dxfId="11" priority="12" stopIfTrue="1" operator="equal">
      <formula>"Sleep"</formula>
    </cfRule>
  </conditionalFormatting>
  <conditionalFormatting sqref="AZ4:BB38">
    <cfRule type="expression" dxfId="12" priority="13" stopIfTrue="1">
      <formula>$AZ4=TRUE</formula>
    </cfRule>
  </conditionalFormatting>
  <dataValidations>
    <dataValidation type="list" allowBlank="1" showInputMessage="1" showErrorMessage="1" prompt="Pick an activity — each block is 30 minutes." sqref="C6:AX12">
      <formula1>'⚙️ Config'!$A$2:$A$13</formula1>
    </dataValidation>
  </dataValidations>
  <hyperlinks>
    <hyperlink display="📅 Week 1    |    📅 Week 2    |    📅 Week 3    |    📅 Week 4    |    📊 Dashboard" location="'Week 1'!A1" ref="B2"/>
  </hyperlin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46E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5.13"/>
    <col customWidth="1" min="3" max="20" width="10.75"/>
    <col customWidth="1" min="21" max="21" width="2.13"/>
  </cols>
  <sheetData>
    <row r="1" ht="39.0" customHeight="1">
      <c r="A1" s="17"/>
      <c r="B1" s="18" t="s">
        <v>132</v>
      </c>
      <c r="U1" s="17"/>
    </row>
    <row r="2" ht="21.0" customHeight="1">
      <c r="A2" s="17"/>
      <c r="B2" s="20" t="s">
        <v>133</v>
      </c>
      <c r="U2" s="17"/>
    </row>
    <row r="3" ht="9.0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18.0" customHeight="1">
      <c r="A4" s="17"/>
      <c r="B4" s="110" t="s">
        <v>100</v>
      </c>
      <c r="E4" s="17"/>
      <c r="F4" s="111" t="s">
        <v>102</v>
      </c>
      <c r="I4" s="17"/>
      <c r="J4" s="112" t="s">
        <v>104</v>
      </c>
      <c r="M4" s="17"/>
      <c r="N4" s="113" t="s">
        <v>106</v>
      </c>
      <c r="Q4" s="17"/>
      <c r="R4" s="114" t="s">
        <v>134</v>
      </c>
      <c r="U4" s="17"/>
    </row>
    <row r="5" ht="33.0" customHeight="1">
      <c r="A5" s="17"/>
      <c r="B5" s="115">
        <f>$G$31</f>
        <v>0</v>
      </c>
      <c r="E5" s="17"/>
      <c r="F5" s="116">
        <f>$G$32</f>
        <v>0</v>
      </c>
      <c r="I5" s="17"/>
      <c r="J5" s="117">
        <f>$G$33</f>
        <v>0</v>
      </c>
      <c r="M5" s="17"/>
      <c r="N5" s="118">
        <f>$G$34</f>
        <v>0</v>
      </c>
      <c r="Q5" s="17"/>
      <c r="R5" s="119">
        <f>$Q$52</f>
        <v>0</v>
      </c>
      <c r="U5" s="17"/>
    </row>
    <row r="6" ht="10.5" customHeight="1">
      <c r="A6" s="17"/>
      <c r="E6" s="17"/>
      <c r="I6" s="17"/>
      <c r="M6" s="17"/>
      <c r="Q6" s="17"/>
      <c r="U6" s="17"/>
    </row>
    <row r="7" ht="9.0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18.0" customHeight="1">
      <c r="A8" s="17"/>
      <c r="B8" s="120" t="s">
        <v>108</v>
      </c>
      <c r="E8" s="17"/>
      <c r="F8" s="121" t="s">
        <v>59</v>
      </c>
      <c r="I8" s="17"/>
      <c r="J8" s="122" t="s">
        <v>58</v>
      </c>
      <c r="M8" s="17"/>
      <c r="N8" s="123" t="s">
        <v>135</v>
      </c>
      <c r="Q8" s="17"/>
      <c r="R8" s="124" t="s">
        <v>136</v>
      </c>
      <c r="U8" s="17"/>
    </row>
    <row r="9" ht="33.0" customHeight="1">
      <c r="A9" s="17"/>
      <c r="B9" s="125">
        <f>$G$35</f>
        <v>0</v>
      </c>
      <c r="E9" s="17"/>
      <c r="F9" s="126">
        <f>$G$37</f>
        <v>0</v>
      </c>
      <c r="I9" s="17"/>
      <c r="J9" s="127">
        <f>$G$38</f>
        <v>0</v>
      </c>
      <c r="M9" s="17"/>
      <c r="N9" s="128">
        <f>$H$48</f>
        <v>0</v>
      </c>
      <c r="Q9" s="17"/>
      <c r="R9" s="129">
        <f>$Q$53</f>
        <v>0</v>
      </c>
      <c r="U9" s="17"/>
    </row>
    <row r="10" ht="10.5" customHeight="1">
      <c r="A10" s="17"/>
      <c r="E10" s="17"/>
      <c r="I10" s="17"/>
      <c r="M10" s="17"/>
      <c r="Q10" s="17"/>
      <c r="U10" s="17"/>
    </row>
    <row r="11" ht="10.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2.5" customHeight="1">
      <c r="A13" s="17"/>
      <c r="B13" s="58" t="s">
        <v>137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17"/>
      <c r="B14" s="130" t="s">
        <v>0</v>
      </c>
      <c r="C14" s="130" t="s">
        <v>138</v>
      </c>
      <c r="D14" s="130" t="s">
        <v>139</v>
      </c>
      <c r="E14" s="130" t="s">
        <v>140</v>
      </c>
      <c r="F14" s="130" t="s">
        <v>141</v>
      </c>
      <c r="G14" s="130" t="s">
        <v>60</v>
      </c>
      <c r="H14" s="130" t="s">
        <v>142</v>
      </c>
      <c r="I14" s="131" t="s">
        <v>143</v>
      </c>
      <c r="J14" s="25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18.0" customHeight="1">
      <c r="A15" s="17"/>
      <c r="B15" s="78" t="s">
        <v>47</v>
      </c>
      <c r="C15" s="37">
        <f>COUNTIF(WEEK1_GRID,"codding")*0.5</f>
        <v>0</v>
      </c>
      <c r="D15" s="37">
        <f>COUNTIF(WEEK2_GRID,"codding")*0.5</f>
        <v>0</v>
      </c>
      <c r="E15" s="37">
        <f>COUNTIF(WEEK3_GRID,"codding")*0.5</f>
        <v>0</v>
      </c>
      <c r="F15" s="37">
        <f>COUNTIF(WEEK4_GRID,"codding")*0.5</f>
        <v>0</v>
      </c>
      <c r="G15" s="38">
        <f t="shared" ref="G15:G26" si="1">SUM(C15:F15)</f>
        <v>0</v>
      </c>
      <c r="H15" s="132">
        <f>$G$15/672</f>
        <v>0</v>
      </c>
      <c r="I15" s="72" t="str">
        <f>IFERROR(__xludf.DUMMYFUNCTION("IFERROR(SPARKLINE(C15:F15,{""charttype"",""line"";""linewidth"",2;""color"",""#057c31""}),"""")"),"")</f>
        <v/>
      </c>
      <c r="J15" s="25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18.0" customHeight="1">
      <c r="A16" s="17"/>
      <c r="B16" s="78" t="s">
        <v>49</v>
      </c>
      <c r="C16" s="37">
        <f>COUNTIF(WEEK1_GRID,"learn-prog")*0.5</f>
        <v>0</v>
      </c>
      <c r="D16" s="37">
        <f>COUNTIF(WEEK2_GRID,"learn-prog")*0.5</f>
        <v>0</v>
      </c>
      <c r="E16" s="37">
        <f>COUNTIF(WEEK3_GRID,"learn-prog")*0.5</f>
        <v>0</v>
      </c>
      <c r="F16" s="37">
        <f>COUNTIF(WEEK4_GRID,"learn-prog")*0.5</f>
        <v>0</v>
      </c>
      <c r="G16" s="38">
        <f t="shared" si="1"/>
        <v>0</v>
      </c>
      <c r="H16" s="132">
        <f>$G$16/672</f>
        <v>0</v>
      </c>
      <c r="I16" s="72" t="str">
        <f>IFERROR(__xludf.DUMMYFUNCTION("IFERROR(SPARKLINE(C16:F16,{""charttype"",""line"";""linewidth"",2;""color"",""#86EFAC""}),"""")"),"")</f>
        <v/>
      </c>
      <c r="J16" s="25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18.0" customHeight="1">
      <c r="A17" s="17"/>
      <c r="B17" s="78" t="s">
        <v>50</v>
      </c>
      <c r="C17" s="37">
        <f>COUNTIF(WEEK1_GRID,"En-book")*0.5</f>
        <v>0</v>
      </c>
      <c r="D17" s="37">
        <f>COUNTIF(WEEK2_GRID,"En-book")*0.5</f>
        <v>0</v>
      </c>
      <c r="E17" s="37">
        <f>COUNTIF(WEEK3_GRID,"En-book")*0.5</f>
        <v>0</v>
      </c>
      <c r="F17" s="37">
        <f>COUNTIF(WEEK4_GRID,"En-book")*0.5</f>
        <v>0</v>
      </c>
      <c r="G17" s="38">
        <f t="shared" si="1"/>
        <v>0</v>
      </c>
      <c r="H17" s="132">
        <f>$G$17/672</f>
        <v>0</v>
      </c>
      <c r="I17" s="72" t="str">
        <f>IFERROR(__xludf.DUMMYFUNCTION("IFERROR(SPARKLINE(C17:F17,{""charttype"",""line"";""linewidth"",2;""color"",""#2563EB""}),"""")"),"")</f>
        <v/>
      </c>
      <c r="J17" s="25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18.0" customHeight="1">
      <c r="A18" s="17"/>
      <c r="B18" s="78" t="s">
        <v>51</v>
      </c>
      <c r="C18" s="37">
        <f>COUNTIF(WEEK1_GRID,"En-listening")*0.5</f>
        <v>0</v>
      </c>
      <c r="D18" s="37">
        <f>COUNTIF(WEEK2_GRID,"En-listening")*0.5</f>
        <v>0</v>
      </c>
      <c r="E18" s="37">
        <f>COUNTIF(WEEK3_GRID,"En-listening")*0.5</f>
        <v>0</v>
      </c>
      <c r="F18" s="37">
        <f>COUNTIF(WEEK4_GRID,"En-listening")*0.5</f>
        <v>0</v>
      </c>
      <c r="G18" s="38">
        <f t="shared" si="1"/>
        <v>0</v>
      </c>
      <c r="H18" s="132">
        <f>$G$18/672</f>
        <v>0</v>
      </c>
      <c r="I18" s="72" t="str">
        <f>IFERROR(__xludf.DUMMYFUNCTION("IFERROR(SPARKLINE(C18:F18,{""charttype"",""line"";""linewidth"",2;""color"",""#93C5FD""}),"""")"),"")</f>
        <v/>
      </c>
      <c r="J18" s="25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18.0" customHeight="1">
      <c r="A19" s="17"/>
      <c r="B19" s="78" t="s">
        <v>52</v>
      </c>
      <c r="C19" s="37">
        <f>COUNTIF(WEEK1_GRID,"Run")*0.5</f>
        <v>0</v>
      </c>
      <c r="D19" s="37">
        <f>COUNTIF(WEEK2_GRID,"Run")*0.5</f>
        <v>0</v>
      </c>
      <c r="E19" s="37">
        <f>COUNTIF(WEEK3_GRID,"Run")*0.5</f>
        <v>0</v>
      </c>
      <c r="F19" s="37">
        <f>COUNTIF(WEEK4_GRID,"Run")*0.5</f>
        <v>0</v>
      </c>
      <c r="G19" s="38">
        <f t="shared" si="1"/>
        <v>0</v>
      </c>
      <c r="H19" s="132">
        <f>$G$19/672</f>
        <v>0</v>
      </c>
      <c r="I19" s="72" t="str">
        <f>IFERROR(__xludf.DUMMYFUNCTION("IFERROR(SPARKLINE(C19:F19,{""charttype"",""line"";""linewidth"",2;""color"",""#EA580C""}),"""")"),"")</f>
        <v/>
      </c>
      <c r="J19" s="25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18.0" customHeight="1">
      <c r="A20" s="17"/>
      <c r="B20" s="78" t="s">
        <v>53</v>
      </c>
      <c r="C20" s="37">
        <f>COUNTIF(WEEK1_GRID,"Gym")*0.5</f>
        <v>0</v>
      </c>
      <c r="D20" s="37">
        <f>COUNTIF(WEEK2_GRID,"Gym")*0.5</f>
        <v>0</v>
      </c>
      <c r="E20" s="37">
        <f>COUNTIF(WEEK3_GRID,"Gym")*0.5</f>
        <v>0</v>
      </c>
      <c r="F20" s="37">
        <f>COUNTIF(WEEK4_GRID,"Gym")*0.5</f>
        <v>0</v>
      </c>
      <c r="G20" s="38">
        <f t="shared" si="1"/>
        <v>0</v>
      </c>
      <c r="H20" s="132">
        <f>$G$20/672</f>
        <v>0</v>
      </c>
      <c r="I20" s="72" t="str">
        <f>IFERROR(__xludf.DUMMYFUNCTION("IFERROR(SPARKLINE(C20:F20,{""charttype"",""line"";""linewidth"",2;""color"",""#FDBA74""}),"""")"),"")</f>
        <v/>
      </c>
      <c r="J20" s="25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18.0" customHeight="1">
      <c r="A21" s="17"/>
      <c r="B21" s="78" t="s">
        <v>54</v>
      </c>
      <c r="C21" s="37">
        <f>COUNTIF(WEEK1_GRID,"work")*0.5</f>
        <v>0</v>
      </c>
      <c r="D21" s="37">
        <f>COUNTIF(WEEK2_GRID,"work")*0.5</f>
        <v>0</v>
      </c>
      <c r="E21" s="37">
        <f>COUNTIF(WEEK3_GRID,"work")*0.5</f>
        <v>0</v>
      </c>
      <c r="F21" s="37">
        <f>COUNTIF(WEEK4_GRID,"work")*0.5</f>
        <v>0</v>
      </c>
      <c r="G21" s="38">
        <f t="shared" si="1"/>
        <v>0</v>
      </c>
      <c r="H21" s="132">
        <f>$G$21/672</f>
        <v>0</v>
      </c>
      <c r="I21" s="72" t="str">
        <f>IFERROR(__xludf.DUMMYFUNCTION("IFERROR(SPARKLINE(C21:F21,{""charttype"",""line"";""linewidth"",2;""color"",""#89fd05""}),"""")"),"")</f>
        <v/>
      </c>
      <c r="J21" s="25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18.0" customHeight="1">
      <c r="A22" s="17"/>
      <c r="B22" s="78" t="s">
        <v>55</v>
      </c>
      <c r="C22" s="37">
        <f>COUNTIF(WEEK1_GRID,"Meditation")*0.5</f>
        <v>0</v>
      </c>
      <c r="D22" s="37">
        <f>COUNTIF(WEEK2_GRID,"Meditation")*0.5</f>
        <v>0</v>
      </c>
      <c r="E22" s="37">
        <f>COUNTIF(WEEK3_GRID,"Meditation")*0.5</f>
        <v>0</v>
      </c>
      <c r="F22" s="37">
        <f>COUNTIF(WEEK4_GRID,"Meditation")*0.5</f>
        <v>0</v>
      </c>
      <c r="G22" s="38">
        <f t="shared" si="1"/>
        <v>0</v>
      </c>
      <c r="H22" s="132">
        <f>$G$22/672</f>
        <v>0</v>
      </c>
      <c r="I22" s="72" t="str">
        <f>IFERROR(__xludf.DUMMYFUNCTION("IFERROR(SPARKLINE(C22:F22,{""charttype"",""line"";""linewidth"",2;""color"",""#8e029b""}),"""")"),"")</f>
        <v/>
      </c>
      <c r="J22" s="25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8.0" customHeight="1">
      <c r="A23" s="17"/>
      <c r="B23" s="78" t="s">
        <v>56</v>
      </c>
      <c r="C23" s="37">
        <f>COUNTIF(WEEK1_GRID,"Setar")*0.5</f>
        <v>0</v>
      </c>
      <c r="D23" s="37">
        <f>COUNTIF(WEEK2_GRID,"Setar")*0.5</f>
        <v>0</v>
      </c>
      <c r="E23" s="37">
        <f>COUNTIF(WEEK3_GRID,"Setar")*0.5</f>
        <v>0</v>
      </c>
      <c r="F23" s="37">
        <f>COUNTIF(WEEK4_GRID,"Setar")*0.5</f>
        <v>0</v>
      </c>
      <c r="G23" s="38">
        <f t="shared" si="1"/>
        <v>0</v>
      </c>
      <c r="H23" s="132">
        <f>$G$23/672</f>
        <v>0</v>
      </c>
      <c r="I23" s="72" t="str">
        <f>IFERROR(__xludf.DUMMYFUNCTION("IFERROR(SPARKLINE(C23:F23,{""charttype"",""line"";""linewidth"",2;""color"",""#da87de""}),"""")"),"")</f>
        <v/>
      </c>
      <c r="J23" s="25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18.0" customHeight="1">
      <c r="A24" s="17"/>
      <c r="B24" s="78" t="s">
        <v>57</v>
      </c>
      <c r="C24" s="37">
        <f>COUNTIF(WEEK1_GRID,"Personal Tasks")*0.5</f>
        <v>0</v>
      </c>
      <c r="D24" s="37">
        <f>COUNTIF(WEEK2_GRID,"Personal Tasks")*0.5</f>
        <v>0</v>
      </c>
      <c r="E24" s="37">
        <f>COUNTIF(WEEK3_GRID,"Personal Tasks")*0.5</f>
        <v>0</v>
      </c>
      <c r="F24" s="37">
        <f>COUNTIF(WEEK4_GRID,"Personal Tasks")*0.5</f>
        <v>0</v>
      </c>
      <c r="G24" s="38">
        <f t="shared" si="1"/>
        <v>0</v>
      </c>
      <c r="H24" s="132">
        <f>$G$24/672</f>
        <v>0</v>
      </c>
      <c r="I24" s="72" t="str">
        <f>IFERROR(__xludf.DUMMYFUNCTION("IFERROR(SPARKLINE(C24:F24,{""charttype"",""line"";""linewidth"",2;""color"",""#eeeeee""}),"""")"),"")</f>
        <v/>
      </c>
      <c r="J24" s="25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18.0" customHeight="1">
      <c r="A25" s="17"/>
      <c r="B25" s="78" t="s">
        <v>58</v>
      </c>
      <c r="C25" s="37">
        <f>COUNTIF(WEEK1_GRID,"Wasted Time")*0.5</f>
        <v>0</v>
      </c>
      <c r="D25" s="37">
        <f>COUNTIF(WEEK2_GRID,"Wasted Time")*0.5</f>
        <v>0</v>
      </c>
      <c r="E25" s="37">
        <f>COUNTIF(WEEK3_GRID,"Wasted Time")*0.5</f>
        <v>0</v>
      </c>
      <c r="F25" s="37">
        <f>COUNTIF(WEEK4_GRID,"Wasted Time")*0.5</f>
        <v>0</v>
      </c>
      <c r="G25" s="38">
        <f t="shared" si="1"/>
        <v>0</v>
      </c>
      <c r="H25" s="132">
        <f>$G$25/672</f>
        <v>0</v>
      </c>
      <c r="I25" s="72" t="str">
        <f>IFERROR(__xludf.DUMMYFUNCTION("IFERROR(SPARKLINE(C25:F25,{""charttype"",""line"";""linewidth"",2;""color"",""#ff1500""}),"""")"),"")</f>
        <v/>
      </c>
      <c r="J25" s="25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8.0" customHeight="1">
      <c r="A26" s="17"/>
      <c r="B26" s="78" t="s">
        <v>59</v>
      </c>
      <c r="C26" s="37">
        <f>COUNTIF(WEEK1_GRID,"Sleep")*0.5</f>
        <v>0</v>
      </c>
      <c r="D26" s="37">
        <f>COUNTIF(WEEK2_GRID,"Sleep")*0.5</f>
        <v>0</v>
      </c>
      <c r="E26" s="37">
        <f>COUNTIF(WEEK3_GRID,"Sleep")*0.5</f>
        <v>0</v>
      </c>
      <c r="F26" s="37">
        <f>COUNTIF(WEEK4_GRID,"Sleep")*0.5</f>
        <v>0</v>
      </c>
      <c r="G26" s="38">
        <f t="shared" si="1"/>
        <v>0</v>
      </c>
      <c r="H26" s="132">
        <f>$G$26/672</f>
        <v>0</v>
      </c>
      <c r="I26" s="72" t="str">
        <f>IFERROR(__xludf.DUMMYFUNCTION("IFERROR(SPARKLINE(C26:F26,{""charttype"",""line"";""linewidth"",2;""color"",""#4e4d44""}),"""")"),"")</f>
        <v/>
      </c>
      <c r="J26" s="25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9.5" customHeight="1">
      <c r="A27" s="17"/>
      <c r="B27" s="43" t="s">
        <v>89</v>
      </c>
      <c r="C27" s="44">
        <f t="shared" ref="C27:G27" si="2">SUM(C15:C26)</f>
        <v>0</v>
      </c>
      <c r="D27" s="44">
        <f t="shared" si="2"/>
        <v>0</v>
      </c>
      <c r="E27" s="44">
        <f t="shared" si="2"/>
        <v>0</v>
      </c>
      <c r="F27" s="44">
        <f t="shared" si="2"/>
        <v>0</v>
      </c>
      <c r="G27" s="44">
        <f t="shared" si="2"/>
        <v>0</v>
      </c>
      <c r="H27" s="133">
        <f>$G$27/672</f>
        <v>0</v>
      </c>
      <c r="I27" s="69"/>
      <c r="J27" s="25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22.5" customHeight="1">
      <c r="A29" s="17"/>
      <c r="B29" s="58" t="s">
        <v>144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7"/>
      <c r="B30" s="130" t="s">
        <v>97</v>
      </c>
      <c r="C30" s="130" t="s">
        <v>138</v>
      </c>
      <c r="D30" s="130" t="s">
        <v>139</v>
      </c>
      <c r="E30" s="130" t="s">
        <v>140</v>
      </c>
      <c r="F30" s="130" t="s">
        <v>141</v>
      </c>
      <c r="G30" s="130" t="s">
        <v>60</v>
      </c>
      <c r="H30" s="130" t="s">
        <v>142</v>
      </c>
      <c r="I30" s="131" t="s">
        <v>143</v>
      </c>
      <c r="J30" s="25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18.0" customHeight="1">
      <c r="A31" s="17"/>
      <c r="B31" s="78" t="s">
        <v>100</v>
      </c>
      <c r="C31" s="37">
        <f t="shared" ref="C31:F31" si="3">C15+C16</f>
        <v>0</v>
      </c>
      <c r="D31" s="37">
        <f t="shared" si="3"/>
        <v>0</v>
      </c>
      <c r="E31" s="37">
        <f t="shared" si="3"/>
        <v>0</v>
      </c>
      <c r="F31" s="37">
        <f t="shared" si="3"/>
        <v>0</v>
      </c>
      <c r="G31" s="38">
        <f t="shared" ref="G31:G38" si="5">SUM(C31:F31)</f>
        <v>0</v>
      </c>
      <c r="H31" s="132">
        <f>$G$31/672</f>
        <v>0</v>
      </c>
      <c r="I31" s="72" t="str">
        <f>IFERROR(__xludf.DUMMYFUNCTION("IFERROR(SPARKLINE(C31:F31,{""charttype"",""line"";""linewidth"",2;""color"",""#057c31""}),"""")"),"")</f>
        <v/>
      </c>
      <c r="J31" s="25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18.0" customHeight="1">
      <c r="A32" s="17"/>
      <c r="B32" s="78" t="s">
        <v>102</v>
      </c>
      <c r="C32" s="37">
        <f t="shared" ref="C32:F32" si="4">C17+C18</f>
        <v>0</v>
      </c>
      <c r="D32" s="37">
        <f t="shared" si="4"/>
        <v>0</v>
      </c>
      <c r="E32" s="37">
        <f t="shared" si="4"/>
        <v>0</v>
      </c>
      <c r="F32" s="37">
        <f t="shared" si="4"/>
        <v>0</v>
      </c>
      <c r="G32" s="38">
        <f t="shared" si="5"/>
        <v>0</v>
      </c>
      <c r="H32" s="132">
        <f>$G$32/672</f>
        <v>0</v>
      </c>
      <c r="I32" s="72" t="str">
        <f>IFERROR(__xludf.DUMMYFUNCTION("IFERROR(SPARKLINE(C32:F32,{""charttype"",""line"";""linewidth"",2;""color"",""#2563EB""}),"""")"),"")</f>
        <v/>
      </c>
      <c r="J32" s="25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18.0" customHeight="1">
      <c r="A33" s="17"/>
      <c r="B33" s="78" t="s">
        <v>104</v>
      </c>
      <c r="C33" s="37">
        <f t="shared" ref="C33:F33" si="6">C19+C20</f>
        <v>0</v>
      </c>
      <c r="D33" s="37">
        <f t="shared" si="6"/>
        <v>0</v>
      </c>
      <c r="E33" s="37">
        <f t="shared" si="6"/>
        <v>0</v>
      </c>
      <c r="F33" s="37">
        <f t="shared" si="6"/>
        <v>0</v>
      </c>
      <c r="G33" s="38">
        <f t="shared" si="5"/>
        <v>0</v>
      </c>
      <c r="H33" s="132">
        <f>$G$33/672</f>
        <v>0</v>
      </c>
      <c r="I33" s="72" t="str">
        <f>IFERROR(__xludf.DUMMYFUNCTION("IFERROR(SPARKLINE(C33:F33,{""charttype"",""line"";""linewidth"",2;""color"",""#EA580C""}),"""")"),"")</f>
        <v/>
      </c>
      <c r="J33" s="25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18.0" customHeight="1">
      <c r="A34" s="17"/>
      <c r="B34" s="78" t="s">
        <v>106</v>
      </c>
      <c r="C34" s="37">
        <f t="shared" ref="C34:F34" si="7">C22+C23</f>
        <v>0</v>
      </c>
      <c r="D34" s="37">
        <f t="shared" si="7"/>
        <v>0</v>
      </c>
      <c r="E34" s="37">
        <f t="shared" si="7"/>
        <v>0</v>
      </c>
      <c r="F34" s="37">
        <f t="shared" si="7"/>
        <v>0</v>
      </c>
      <c r="G34" s="38">
        <f t="shared" si="5"/>
        <v>0</v>
      </c>
      <c r="H34" s="132">
        <f>$G$34/672</f>
        <v>0</v>
      </c>
      <c r="I34" s="72" t="str">
        <f>IFERROR(__xludf.DUMMYFUNCTION("IFERROR(SPARKLINE(C34:F34,{""charttype"",""line"";""linewidth"",2;""color"",""#8e029b""}),"""")"),"")</f>
        <v/>
      </c>
      <c r="J34" s="25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18.0" customHeight="1">
      <c r="A35" s="17"/>
      <c r="B35" s="78" t="s">
        <v>108</v>
      </c>
      <c r="C35" s="37">
        <f t="shared" ref="C35:F35" si="8">C21</f>
        <v>0</v>
      </c>
      <c r="D35" s="37">
        <f t="shared" si="8"/>
        <v>0</v>
      </c>
      <c r="E35" s="37">
        <f t="shared" si="8"/>
        <v>0</v>
      </c>
      <c r="F35" s="37">
        <f t="shared" si="8"/>
        <v>0</v>
      </c>
      <c r="G35" s="38">
        <f t="shared" si="5"/>
        <v>0</v>
      </c>
      <c r="H35" s="132">
        <f>$G$35/672</f>
        <v>0</v>
      </c>
      <c r="I35" s="72" t="str">
        <f>IFERROR(__xludf.DUMMYFUNCTION("IFERROR(SPARKLINE(C35:F35,{""charttype"",""line"";""linewidth"",2;""color"",""#89fd05""}),"""")"),"")</f>
        <v/>
      </c>
      <c r="J35" s="25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18.0" customHeight="1">
      <c r="A36" s="17"/>
      <c r="B36" s="78" t="s">
        <v>57</v>
      </c>
      <c r="C36" s="37">
        <f t="shared" ref="C36:F36" si="9">C24</f>
        <v>0</v>
      </c>
      <c r="D36" s="37">
        <f t="shared" si="9"/>
        <v>0</v>
      </c>
      <c r="E36" s="37">
        <f t="shared" si="9"/>
        <v>0</v>
      </c>
      <c r="F36" s="37">
        <f t="shared" si="9"/>
        <v>0</v>
      </c>
      <c r="G36" s="38">
        <f t="shared" si="5"/>
        <v>0</v>
      </c>
      <c r="H36" s="132">
        <f>$G$36/672</f>
        <v>0</v>
      </c>
      <c r="I36" s="72" t="str">
        <f>IFERROR(__xludf.DUMMYFUNCTION("IFERROR(SPARKLINE(C36:F36,{""charttype"",""line"";""linewidth"",2;""color"",""#eeeeee""}),"""")"),"")</f>
        <v/>
      </c>
      <c r="J36" s="25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18.0" customHeight="1">
      <c r="A37" s="17"/>
      <c r="B37" s="78" t="s">
        <v>59</v>
      </c>
      <c r="C37" s="37">
        <f t="shared" ref="C37:F37" si="10">C26</f>
        <v>0</v>
      </c>
      <c r="D37" s="37">
        <f t="shared" si="10"/>
        <v>0</v>
      </c>
      <c r="E37" s="37">
        <f t="shared" si="10"/>
        <v>0</v>
      </c>
      <c r="F37" s="37">
        <f t="shared" si="10"/>
        <v>0</v>
      </c>
      <c r="G37" s="38">
        <f t="shared" si="5"/>
        <v>0</v>
      </c>
      <c r="H37" s="132">
        <f>$G$37/672</f>
        <v>0</v>
      </c>
      <c r="I37" s="72" t="str">
        <f>IFERROR(__xludf.DUMMYFUNCTION("IFERROR(SPARKLINE(C37:F37,{""charttype"",""line"";""linewidth"",2;""color"",""#4e4d44""}),"""")"),"")</f>
        <v/>
      </c>
      <c r="J37" s="25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18.0" customHeight="1">
      <c r="A38" s="17"/>
      <c r="B38" s="78" t="s">
        <v>58</v>
      </c>
      <c r="C38" s="37">
        <f t="shared" ref="C38:F38" si="11">C25</f>
        <v>0</v>
      </c>
      <c r="D38" s="37">
        <f t="shared" si="11"/>
        <v>0</v>
      </c>
      <c r="E38" s="37">
        <f t="shared" si="11"/>
        <v>0</v>
      </c>
      <c r="F38" s="37">
        <f t="shared" si="11"/>
        <v>0</v>
      </c>
      <c r="G38" s="38">
        <f t="shared" si="5"/>
        <v>0</v>
      </c>
      <c r="H38" s="132">
        <f>$G$38/672</f>
        <v>0</v>
      </c>
      <c r="I38" s="72" t="str">
        <f>IFERROR(__xludf.DUMMYFUNCTION("IFERROR(SPARKLINE(C38:F38,{""charttype"",""line"";""linewidth"",2;""color"",""#ff1500""}),"""")"),"")</f>
        <v/>
      </c>
      <c r="J38" s="25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22.5" customHeight="1">
      <c r="A40" s="17"/>
      <c r="B40" s="58" t="s">
        <v>145</v>
      </c>
      <c r="O40" s="17"/>
      <c r="P40" s="17"/>
      <c r="Q40" s="17"/>
      <c r="R40" s="17"/>
      <c r="S40" s="17"/>
      <c r="T40" s="17"/>
      <c r="U40" s="17"/>
    </row>
    <row r="41">
      <c r="A41" s="17"/>
      <c r="B41" s="31" t="s">
        <v>146</v>
      </c>
      <c r="C41" s="31" t="s">
        <v>47</v>
      </c>
      <c r="D41" s="31" t="s">
        <v>49</v>
      </c>
      <c r="E41" s="31" t="s">
        <v>50</v>
      </c>
      <c r="F41" s="31" t="s">
        <v>51</v>
      </c>
      <c r="G41" s="31" t="s">
        <v>52</v>
      </c>
      <c r="H41" s="31" t="s">
        <v>53</v>
      </c>
      <c r="I41" s="31" t="s">
        <v>54</v>
      </c>
      <c r="J41" s="31" t="s">
        <v>55</v>
      </c>
      <c r="K41" s="31" t="s">
        <v>56</v>
      </c>
      <c r="L41" s="31" t="s">
        <v>57</v>
      </c>
      <c r="M41" s="31" t="s">
        <v>58</v>
      </c>
      <c r="N41" s="31" t="s">
        <v>59</v>
      </c>
      <c r="O41" s="17"/>
      <c r="P41" s="17"/>
      <c r="Q41" s="17"/>
      <c r="R41" s="17"/>
      <c r="S41" s="17"/>
      <c r="T41" s="17"/>
      <c r="U41" s="17"/>
    </row>
    <row r="42">
      <c r="A42" s="17"/>
      <c r="B42" s="78" t="s">
        <v>138</v>
      </c>
      <c r="C42" s="37">
        <f>C15</f>
        <v>0</v>
      </c>
      <c r="D42" s="37">
        <f>C16</f>
        <v>0</v>
      </c>
      <c r="E42" s="37">
        <f>C17</f>
        <v>0</v>
      </c>
      <c r="F42" s="37">
        <f>C18</f>
        <v>0</v>
      </c>
      <c r="G42" s="37">
        <f>C19</f>
        <v>0</v>
      </c>
      <c r="H42" s="37">
        <f>C20</f>
        <v>0</v>
      </c>
      <c r="I42" s="37">
        <f>C21</f>
        <v>0</v>
      </c>
      <c r="J42" s="37">
        <f>C22</f>
        <v>0</v>
      </c>
      <c r="K42" s="37">
        <f>C23</f>
        <v>0</v>
      </c>
      <c r="L42" s="37">
        <f>C24</f>
        <v>0</v>
      </c>
      <c r="M42" s="37">
        <f>C25</f>
        <v>0</v>
      </c>
      <c r="N42" s="37">
        <f>C26</f>
        <v>0</v>
      </c>
      <c r="O42" s="17"/>
      <c r="P42" s="17"/>
      <c r="Q42" s="17"/>
      <c r="R42" s="17"/>
      <c r="S42" s="17"/>
      <c r="T42" s="17"/>
      <c r="U42" s="17"/>
    </row>
    <row r="43">
      <c r="A43" s="17"/>
      <c r="B43" s="78" t="s">
        <v>139</v>
      </c>
      <c r="C43" s="37">
        <f>D15</f>
        <v>0</v>
      </c>
      <c r="D43" s="37">
        <f>D16</f>
        <v>0</v>
      </c>
      <c r="E43" s="37">
        <f>D17</f>
        <v>0</v>
      </c>
      <c r="F43" s="37">
        <f>D18</f>
        <v>0</v>
      </c>
      <c r="G43" s="37">
        <f>D19</f>
        <v>0</v>
      </c>
      <c r="H43" s="37">
        <f>D20</f>
        <v>0</v>
      </c>
      <c r="I43" s="37">
        <f>D21</f>
        <v>0</v>
      </c>
      <c r="J43" s="37">
        <f>D22</f>
        <v>0</v>
      </c>
      <c r="K43" s="37">
        <f>D23</f>
        <v>0</v>
      </c>
      <c r="L43" s="37">
        <f>D24</f>
        <v>0</v>
      </c>
      <c r="M43" s="37">
        <f>D25</f>
        <v>0</v>
      </c>
      <c r="N43" s="37">
        <f>D26</f>
        <v>0</v>
      </c>
      <c r="O43" s="17"/>
      <c r="P43" s="17"/>
      <c r="Q43" s="17"/>
      <c r="R43" s="17"/>
      <c r="S43" s="17"/>
      <c r="T43" s="17"/>
      <c r="U43" s="17"/>
    </row>
    <row r="44">
      <c r="A44" s="17"/>
      <c r="B44" s="78" t="s">
        <v>140</v>
      </c>
      <c r="C44" s="37">
        <f>E15</f>
        <v>0</v>
      </c>
      <c r="D44" s="37">
        <f>E16</f>
        <v>0</v>
      </c>
      <c r="E44" s="37">
        <f>E17</f>
        <v>0</v>
      </c>
      <c r="F44" s="37">
        <f>E18</f>
        <v>0</v>
      </c>
      <c r="G44" s="37">
        <f>E19</f>
        <v>0</v>
      </c>
      <c r="H44" s="37">
        <f>E20</f>
        <v>0</v>
      </c>
      <c r="I44" s="37">
        <f>E21</f>
        <v>0</v>
      </c>
      <c r="J44" s="37">
        <f>E22</f>
        <v>0</v>
      </c>
      <c r="K44" s="37">
        <f>E23</f>
        <v>0</v>
      </c>
      <c r="L44" s="37">
        <f>E24</f>
        <v>0</v>
      </c>
      <c r="M44" s="37">
        <f>E25</f>
        <v>0</v>
      </c>
      <c r="N44" s="37">
        <f>E26</f>
        <v>0</v>
      </c>
      <c r="O44" s="17"/>
      <c r="P44" s="17"/>
      <c r="Q44" s="17"/>
      <c r="R44" s="17"/>
      <c r="S44" s="17"/>
      <c r="T44" s="17"/>
      <c r="U44" s="17"/>
    </row>
    <row r="45">
      <c r="A45" s="17"/>
      <c r="B45" s="78" t="s">
        <v>141</v>
      </c>
      <c r="C45" s="37">
        <f>F15</f>
        <v>0</v>
      </c>
      <c r="D45" s="37">
        <f>F16</f>
        <v>0</v>
      </c>
      <c r="E45" s="37">
        <f>F17</f>
        <v>0</v>
      </c>
      <c r="F45" s="37">
        <f>F18</f>
        <v>0</v>
      </c>
      <c r="G45" s="37">
        <f>F19</f>
        <v>0</v>
      </c>
      <c r="H45" s="37">
        <f>F20</f>
        <v>0</v>
      </c>
      <c r="I45" s="37">
        <f>F21</f>
        <v>0</v>
      </c>
      <c r="J45" s="37">
        <f>F22</f>
        <v>0</v>
      </c>
      <c r="K45" s="37">
        <f>F23</f>
        <v>0</v>
      </c>
      <c r="L45" s="37">
        <f>F24</f>
        <v>0</v>
      </c>
      <c r="M45" s="37">
        <f>F25</f>
        <v>0</v>
      </c>
      <c r="N45" s="37">
        <f>F26</f>
        <v>0</v>
      </c>
      <c r="O45" s="17"/>
      <c r="P45" s="17"/>
      <c r="Q45" s="17"/>
      <c r="R45" s="17"/>
      <c r="S45" s="17"/>
      <c r="T45" s="17"/>
      <c r="U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22.5" customHeight="1">
      <c r="A47" s="17"/>
      <c r="B47" s="58" t="s">
        <v>147</v>
      </c>
      <c r="G47" s="17"/>
      <c r="H47" s="58" t="s">
        <v>135</v>
      </c>
      <c r="N47" s="17"/>
      <c r="O47" s="58" t="s">
        <v>148</v>
      </c>
      <c r="U47" s="17"/>
    </row>
    <row r="48" ht="18.75" customHeight="1">
      <c r="A48" s="17"/>
      <c r="B48" s="104" t="s">
        <v>149</v>
      </c>
      <c r="C48" s="30"/>
      <c r="D48" s="25"/>
      <c r="E48" s="134">
        <f>$G$27</f>
        <v>0</v>
      </c>
      <c r="F48" s="25"/>
      <c r="G48" s="17"/>
      <c r="H48" s="135">
        <f>ROUND(MAX(0, MIN(1,$G$31/GOAL_PROG)*25 + MIN(1,$G$32/GOAL_ENGLISH)*15 + MIN(1,$G$33/GOAL_EXERCISE)*12 + MIN(1,$G$34/GOAL_MEDITATION)*8 + MIN(1,$G$35/GOAL_WORK)*10 + MIN(1,$G$36/GOAL_PERSONAL)*5 + MAX(0,1-ABS($G$37/28-IDEAL_SLEEP)/4)*25 - MIN(1,$G$38/WASTED_LIMIT)*25),0)</f>
        <v>0</v>
      </c>
      <c r="I48" s="97"/>
      <c r="J48" s="97"/>
      <c r="K48" s="136" t="str">
        <f>IFERROR(__xludf.DUMMYFUNCTION("IFERROR(SPARKLINE($H$48,{""charttype"",""bar"";""max"",100;""color1"",""#22C55E""}),"""")"),"")</f>
        <v/>
      </c>
      <c r="L48" s="97"/>
      <c r="M48" s="98"/>
      <c r="N48" s="17"/>
      <c r="O48" s="62" t="s">
        <v>138</v>
      </c>
      <c r="P48" s="25"/>
      <c r="Q48" s="134">
        <f>C31+C32+C33+C35</f>
        <v>0</v>
      </c>
      <c r="R48" s="25"/>
      <c r="S48" s="65" t="str">
        <f>IFERROR(__xludf.DUMMYFUNCTION("IFERROR(SPARKLINE($Q$48,{""charttype"",""bar"";""max"",MAX($Q$48:$Q$51)+0.0001;""color1"",""#0D9488""}),"""")"),"")</f>
        <v/>
      </c>
      <c r="T48" s="25"/>
      <c r="U48" s="17"/>
    </row>
    <row r="49" ht="18.75" customHeight="1">
      <c r="A49" s="17"/>
      <c r="B49" s="104" t="s">
        <v>150</v>
      </c>
      <c r="C49" s="30"/>
      <c r="D49" s="25"/>
      <c r="E49" s="137">
        <f>($G$31+$G$32+$G$33+$G$34+$G$35+$G$36)/28</f>
        <v>0</v>
      </c>
      <c r="F49" s="25"/>
      <c r="G49" s="17"/>
      <c r="H49" s="99"/>
      <c r="K49" s="138" t="s">
        <v>151</v>
      </c>
      <c r="M49" s="100"/>
      <c r="N49" s="17"/>
      <c r="O49" s="62" t="s">
        <v>139</v>
      </c>
      <c r="P49" s="25"/>
      <c r="Q49" s="134">
        <f>D31+D32+D33+D35</f>
        <v>0</v>
      </c>
      <c r="R49" s="25"/>
      <c r="S49" s="65" t="str">
        <f>IFERROR(__xludf.DUMMYFUNCTION("IFERROR(SPARKLINE($Q$49,{""charttype"",""bar"";""max"",MAX($Q$48:$Q$51)+0.0001;""color1"",""#0D9488""}),"""")"),"")</f>
        <v/>
      </c>
      <c r="T49" s="25"/>
      <c r="U49" s="17"/>
    </row>
    <row r="50" ht="18.75" customHeight="1">
      <c r="A50" s="17"/>
      <c r="B50" s="104" t="s">
        <v>152</v>
      </c>
      <c r="C50" s="30"/>
      <c r="D50" s="25"/>
      <c r="E50" s="137">
        <f>$G$37/28</f>
        <v>0</v>
      </c>
      <c r="F50" s="25"/>
      <c r="G50" s="17"/>
      <c r="H50" s="101"/>
      <c r="I50" s="102"/>
      <c r="J50" s="102"/>
      <c r="K50" s="139" t="str">
        <f>IFS($H$48&gt;=85,"🌟 Outstanding",$H$48&gt;=70,"💪 Strong",$H$48&gt;=50,"🙂 Decent",$H$48&gt;=30,"⚠️ Needs Focus",TRUE,"🔴 Off Track")</f>
        <v>🔴 Off Track</v>
      </c>
      <c r="L50" s="102"/>
      <c r="M50" s="103"/>
      <c r="N50" s="17"/>
      <c r="O50" s="62" t="s">
        <v>140</v>
      </c>
      <c r="P50" s="25"/>
      <c r="Q50" s="134">
        <f>E31+E32+E33+E35</f>
        <v>0</v>
      </c>
      <c r="R50" s="25"/>
      <c r="S50" s="65" t="str">
        <f>IFERROR(__xludf.DUMMYFUNCTION("IFERROR(SPARKLINE($Q$50,{""charttype"",""bar"";""max"",MAX($Q$48:$Q$51)+0.0001;""color1"",""#0D9488""}),"""")"),"")</f>
        <v/>
      </c>
      <c r="T50" s="25"/>
      <c r="U50" s="17"/>
    </row>
    <row r="51" ht="18.75" customHeight="1">
      <c r="A51" s="17"/>
      <c r="B51" s="104" t="s">
        <v>153</v>
      </c>
      <c r="C51" s="30"/>
      <c r="D51" s="25"/>
      <c r="E51" s="140">
        <f>IFERROR($G$31/$G$27,0)</f>
        <v>0</v>
      </c>
      <c r="F51" s="25"/>
      <c r="G51" s="17"/>
      <c r="H51" s="17"/>
      <c r="I51" s="17"/>
      <c r="J51" s="17"/>
      <c r="K51" s="17"/>
      <c r="L51" s="17"/>
      <c r="M51" s="17"/>
      <c r="N51" s="17"/>
      <c r="O51" s="62" t="s">
        <v>141</v>
      </c>
      <c r="P51" s="25"/>
      <c r="Q51" s="134">
        <f>F31+F32+F33+F35</f>
        <v>0</v>
      </c>
      <c r="R51" s="25"/>
      <c r="S51" s="65" t="str">
        <f>IFERROR(__xludf.DUMMYFUNCTION("IFERROR(SPARKLINE($Q$51,{""charttype"",""bar"";""max"",MAX($Q$48:$Q$51)+0.0001;""color1"",""#0D9488""}),"""")"),"")</f>
        <v/>
      </c>
      <c r="T51" s="25"/>
      <c r="U51" s="17"/>
    </row>
    <row r="52" ht="18.75" customHeight="1">
      <c r="A52" s="17"/>
      <c r="B52" s="104" t="s">
        <v>154</v>
      </c>
      <c r="C52" s="30"/>
      <c r="D52" s="25"/>
      <c r="E52" s="140">
        <f>IFERROR($G$32/$G$27,0)</f>
        <v>0</v>
      </c>
      <c r="F52" s="25"/>
      <c r="G52" s="17"/>
      <c r="H52" s="17"/>
      <c r="I52" s="17"/>
      <c r="J52" s="17"/>
      <c r="K52" s="17"/>
      <c r="L52" s="17"/>
      <c r="M52" s="17"/>
      <c r="N52" s="17"/>
      <c r="O52" s="73" t="s">
        <v>155</v>
      </c>
      <c r="P52" s="25"/>
      <c r="Q52" s="141">
        <f>SUM($Q$48:$Q$51)</f>
        <v>0</v>
      </c>
      <c r="R52" s="25"/>
      <c r="S52" s="69"/>
      <c r="T52" s="25"/>
      <c r="U52" s="17"/>
    </row>
    <row r="53" ht="18.75" customHeight="1">
      <c r="A53" s="17"/>
      <c r="B53" s="104" t="s">
        <v>156</v>
      </c>
      <c r="C53" s="30"/>
      <c r="D53" s="25"/>
      <c r="E53" s="140">
        <f>IFERROR($G$33/$G$27,0)</f>
        <v>0</v>
      </c>
      <c r="F53" s="25"/>
      <c r="G53" s="17"/>
      <c r="H53" s="17"/>
      <c r="I53" s="17"/>
      <c r="J53" s="17"/>
      <c r="K53" s="17"/>
      <c r="L53" s="17"/>
      <c r="M53" s="17"/>
      <c r="N53" s="17"/>
      <c r="O53" s="62" t="s">
        <v>157</v>
      </c>
      <c r="P53" s="25"/>
      <c r="Q53" s="137">
        <f>$Q$52/28</f>
        <v>0</v>
      </c>
      <c r="R53" s="25"/>
      <c r="S53" s="72"/>
      <c r="T53" s="25"/>
      <c r="U53" s="17"/>
    </row>
    <row r="54" ht="18.75" customHeight="1">
      <c r="A54" s="17"/>
      <c r="B54" s="104" t="s">
        <v>158</v>
      </c>
      <c r="C54" s="30"/>
      <c r="D54" s="25"/>
      <c r="E54" s="140">
        <f>IFERROR($G$38/$G$27,0)</f>
        <v>0</v>
      </c>
      <c r="F54" s="25"/>
      <c r="G54" s="17"/>
      <c r="H54" s="17"/>
      <c r="I54" s="17"/>
      <c r="J54" s="17"/>
      <c r="K54" s="17"/>
      <c r="L54" s="17"/>
      <c r="M54" s="17"/>
      <c r="N54" s="17"/>
      <c r="O54" s="62" t="s">
        <v>159</v>
      </c>
      <c r="P54" s="25"/>
      <c r="Q54" s="142" t="str">
        <f>IFERROR("Week "&amp;MATCH(MAX($Q$48:$Q$51),$Q$48:$Q$51,0),"—")</f>
        <v>Week 1</v>
      </c>
      <c r="R54" s="25"/>
      <c r="S54" s="72"/>
      <c r="T54" s="25"/>
      <c r="U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22.5" customHeight="1">
      <c r="A57" s="17"/>
      <c r="B57" s="58" t="s">
        <v>160</v>
      </c>
      <c r="T57" s="17"/>
      <c r="U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22.5" customHeight="1">
      <c r="A155" s="17"/>
      <c r="B155" s="58" t="s">
        <v>161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>
      <c r="A157" s="17"/>
      <c r="B157" s="95" t="s">
        <v>162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>
      <c r="A158" s="17"/>
      <c r="B158" s="96"/>
      <c r="C158" s="97"/>
      <c r="D158" s="97"/>
      <c r="E158" s="97"/>
      <c r="F158" s="97"/>
      <c r="G158" s="97"/>
      <c r="H158" s="97"/>
      <c r="I158" s="97"/>
      <c r="J158" s="98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>
      <c r="A159" s="17"/>
      <c r="B159" s="99"/>
      <c r="J159" s="10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>
      <c r="A160" s="17"/>
      <c r="B160" s="101"/>
      <c r="C160" s="102"/>
      <c r="D160" s="102"/>
      <c r="E160" s="102"/>
      <c r="F160" s="102"/>
      <c r="G160" s="102"/>
      <c r="H160" s="102"/>
      <c r="I160" s="102"/>
      <c r="J160" s="103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>
      <c r="A162" s="17"/>
      <c r="B162" s="95" t="s">
        <v>163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>
      <c r="A163" s="17"/>
      <c r="B163" s="96"/>
      <c r="C163" s="97"/>
      <c r="D163" s="97"/>
      <c r="E163" s="97"/>
      <c r="F163" s="97"/>
      <c r="G163" s="97"/>
      <c r="H163" s="97"/>
      <c r="I163" s="97"/>
      <c r="J163" s="98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>
      <c r="A164" s="17"/>
      <c r="B164" s="99"/>
      <c r="J164" s="10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>
      <c r="A165" s="17"/>
      <c r="B165" s="101"/>
      <c r="C165" s="102"/>
      <c r="D165" s="102"/>
      <c r="E165" s="102"/>
      <c r="F165" s="102"/>
      <c r="G165" s="102"/>
      <c r="H165" s="102"/>
      <c r="I165" s="102"/>
      <c r="J165" s="103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>
      <c r="A167" s="17"/>
      <c r="B167" s="95" t="s">
        <v>164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>
      <c r="A168" s="17"/>
      <c r="B168" s="96"/>
      <c r="C168" s="97"/>
      <c r="D168" s="97"/>
      <c r="E168" s="97"/>
      <c r="F168" s="97"/>
      <c r="G168" s="97"/>
      <c r="H168" s="97"/>
      <c r="I168" s="97"/>
      <c r="J168" s="98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>
      <c r="A169" s="17"/>
      <c r="B169" s="99"/>
      <c r="J169" s="10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>
      <c r="A170" s="17"/>
      <c r="B170" s="101"/>
      <c r="C170" s="102"/>
      <c r="D170" s="102"/>
      <c r="E170" s="102"/>
      <c r="F170" s="102"/>
      <c r="G170" s="102"/>
      <c r="H170" s="102"/>
      <c r="I170" s="102"/>
      <c r="J170" s="103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>
      <c r="A172" s="17"/>
      <c r="B172" s="95" t="s">
        <v>165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>
      <c r="A173" s="17"/>
      <c r="B173" s="96"/>
      <c r="C173" s="97"/>
      <c r="D173" s="97"/>
      <c r="E173" s="97"/>
      <c r="F173" s="97"/>
      <c r="G173" s="97"/>
      <c r="H173" s="97"/>
      <c r="I173" s="97"/>
      <c r="J173" s="98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>
      <c r="A174" s="17"/>
      <c r="B174" s="99"/>
      <c r="J174" s="10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>
      <c r="A175" s="17"/>
      <c r="B175" s="101"/>
      <c r="C175" s="102"/>
      <c r="D175" s="102"/>
      <c r="E175" s="102"/>
      <c r="F175" s="102"/>
      <c r="G175" s="102"/>
      <c r="H175" s="102"/>
      <c r="I175" s="102"/>
      <c r="J175" s="103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>
      <c r="A177" s="17"/>
      <c r="B177" s="95" t="s">
        <v>166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>
      <c r="A178" s="17"/>
      <c r="B178" s="96"/>
      <c r="C178" s="97"/>
      <c r="D178" s="97"/>
      <c r="E178" s="97"/>
      <c r="F178" s="97"/>
      <c r="G178" s="97"/>
      <c r="H178" s="97"/>
      <c r="I178" s="97"/>
      <c r="J178" s="98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>
      <c r="A179" s="17"/>
      <c r="B179" s="99"/>
      <c r="J179" s="10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>
      <c r="A180" s="17"/>
      <c r="B180" s="101"/>
      <c r="C180" s="102"/>
      <c r="D180" s="102"/>
      <c r="E180" s="102"/>
      <c r="F180" s="102"/>
      <c r="G180" s="102"/>
      <c r="H180" s="102"/>
      <c r="I180" s="102"/>
      <c r="J180" s="103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>
      <c r="A182" s="17"/>
      <c r="B182" s="95" t="s">
        <v>167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>
      <c r="A183" s="17"/>
      <c r="B183" s="96"/>
      <c r="C183" s="97"/>
      <c r="D183" s="97"/>
      <c r="E183" s="97"/>
      <c r="F183" s="97"/>
      <c r="G183" s="97"/>
      <c r="H183" s="97"/>
      <c r="I183" s="97"/>
      <c r="J183" s="9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>
      <c r="A184" s="17"/>
      <c r="B184" s="99"/>
      <c r="J184" s="10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>
      <c r="A185" s="17"/>
      <c r="B185" s="101"/>
      <c r="C185" s="102"/>
      <c r="D185" s="102"/>
      <c r="E185" s="102"/>
      <c r="F185" s="102"/>
      <c r="G185" s="102"/>
      <c r="H185" s="102"/>
      <c r="I185" s="102"/>
      <c r="J185" s="103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>
      <c r="A188" s="17"/>
      <c r="B188" s="143" t="s">
        <v>92</v>
      </c>
      <c r="C188" s="143" t="s">
        <v>168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>
      <c r="A189" s="17"/>
      <c r="B189" s="143" t="s">
        <v>169</v>
      </c>
      <c r="C189" s="144">
        <f>$H$48</f>
        <v>0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</sheetData>
  <mergeCells count="104">
    <mergeCell ref="I20:J20"/>
    <mergeCell ref="I21:J21"/>
    <mergeCell ref="I22:J22"/>
    <mergeCell ref="I23:J23"/>
    <mergeCell ref="I24:J24"/>
    <mergeCell ref="I25:J25"/>
    <mergeCell ref="I26:J26"/>
    <mergeCell ref="I37:J37"/>
    <mergeCell ref="I38:J38"/>
    <mergeCell ref="I30:J30"/>
    <mergeCell ref="I31:J31"/>
    <mergeCell ref="I32:J32"/>
    <mergeCell ref="I33:J33"/>
    <mergeCell ref="I34:J34"/>
    <mergeCell ref="I35:J35"/>
    <mergeCell ref="I36:J36"/>
    <mergeCell ref="B49:D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155:J155"/>
    <mergeCell ref="B157:J157"/>
    <mergeCell ref="B158:J160"/>
    <mergeCell ref="B178:J180"/>
    <mergeCell ref="B182:J182"/>
    <mergeCell ref="B183:J185"/>
    <mergeCell ref="B162:J162"/>
    <mergeCell ref="B163:J165"/>
    <mergeCell ref="B167:J167"/>
    <mergeCell ref="B168:J170"/>
    <mergeCell ref="B172:J172"/>
    <mergeCell ref="B173:J175"/>
    <mergeCell ref="B177:J177"/>
    <mergeCell ref="O48:P48"/>
    <mergeCell ref="O49:P49"/>
    <mergeCell ref="Q49:R49"/>
    <mergeCell ref="S49:T49"/>
    <mergeCell ref="E49:F49"/>
    <mergeCell ref="H48:J50"/>
    <mergeCell ref="K49:M49"/>
    <mergeCell ref="K50:M50"/>
    <mergeCell ref="O47:T47"/>
    <mergeCell ref="Q48:R48"/>
    <mergeCell ref="S48:T48"/>
    <mergeCell ref="S50:T50"/>
    <mergeCell ref="O52:P52"/>
    <mergeCell ref="O53:P53"/>
    <mergeCell ref="Q53:R53"/>
    <mergeCell ref="S53:T53"/>
    <mergeCell ref="O54:P54"/>
    <mergeCell ref="Q54:R54"/>
    <mergeCell ref="S54:T54"/>
    <mergeCell ref="B57:S57"/>
    <mergeCell ref="O50:P50"/>
    <mergeCell ref="Q50:R50"/>
    <mergeCell ref="O51:P51"/>
    <mergeCell ref="Q51:R51"/>
    <mergeCell ref="S51:T51"/>
    <mergeCell ref="Q52:R52"/>
    <mergeCell ref="S52:T52"/>
    <mergeCell ref="J4:L4"/>
    <mergeCell ref="N4:P4"/>
    <mergeCell ref="F4:H4"/>
    <mergeCell ref="R4:T4"/>
    <mergeCell ref="B1:T1"/>
    <mergeCell ref="B2:T2"/>
    <mergeCell ref="B4:D4"/>
    <mergeCell ref="F5:H6"/>
    <mergeCell ref="J5:L6"/>
    <mergeCell ref="N5:P6"/>
    <mergeCell ref="R5:T6"/>
    <mergeCell ref="N8:P8"/>
    <mergeCell ref="N9:P10"/>
    <mergeCell ref="R8:T8"/>
    <mergeCell ref="R9:T10"/>
    <mergeCell ref="B5:D6"/>
    <mergeCell ref="B8:D8"/>
    <mergeCell ref="B9:D10"/>
    <mergeCell ref="F8:H8"/>
    <mergeCell ref="F9:H10"/>
    <mergeCell ref="J8:L8"/>
    <mergeCell ref="J9:L10"/>
    <mergeCell ref="B13:J13"/>
    <mergeCell ref="I14:J14"/>
    <mergeCell ref="I15:J15"/>
    <mergeCell ref="I16:J16"/>
    <mergeCell ref="I17:J17"/>
    <mergeCell ref="I18:J18"/>
    <mergeCell ref="I19:J19"/>
    <mergeCell ref="I27:J27"/>
    <mergeCell ref="B29:J29"/>
    <mergeCell ref="B40:N40"/>
    <mergeCell ref="B47:F47"/>
    <mergeCell ref="B48:D48"/>
    <mergeCell ref="E48:F48"/>
    <mergeCell ref="H47:M47"/>
    <mergeCell ref="K48:M48"/>
  </mergeCells>
  <hyperlinks>
    <hyperlink display="📅 Week 1    |    📅 Week 2    |    📅 Week 3    |    📅 Week 4    |    📊 Dashboard" location="'Week 1'!A1" ref="B2"/>
  </hyperlinks>
  <drawing r:id="rId2"/>
  <legacyDrawing r:id="rId3"/>
</worksheet>
</file>